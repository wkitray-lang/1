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Summary" sheetId="1" state="visible" r:id="rId1"/>
    <sheet xmlns:r="http://schemas.openxmlformats.org/officeDocument/2006/relationships" name="1 Missing Items" sheetId="2" state="visible" r:id="rId2"/>
    <sheet xmlns:r="http://schemas.openxmlformats.org/officeDocument/2006/relationships" name="2 R3 Changes" sheetId="3" state="visible" r:id="rId3"/>
    <sheet xmlns:r="http://schemas.openxmlformats.org/officeDocument/2006/relationships" name="3 Margin Estimate" sheetId="4" state="visible" r:id="rId4"/>
    <sheet xmlns:r="http://schemas.openxmlformats.org/officeDocument/2006/relationships" name="4 Rate Flags" sheetId="5" state="visible" r:id="rId5"/>
    <sheet xmlns:r="http://schemas.openxmlformats.org/officeDocument/2006/relationships" name="5 Questions" sheetId="6" state="visible" r:id="rId6"/>
    <sheet xmlns:r="http://schemas.openxmlformats.org/officeDocument/2006/relationships" name="6 Supplier Qu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3B3A36"/>
      </patternFill>
    </fill>
    <fill>
      <patternFill patternType="solid">
        <fgColor rgb="00F8D7D3"/>
      </patternFill>
    </fill>
    <fill>
      <patternFill patternType="solid">
        <fgColor rgb="00FCEBC7"/>
      </patternFill>
    </fill>
    <fill>
      <patternFill patternType="solid">
        <fgColor rgb="00DDEF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2" customWidth="1" min="1" max="1"/>
    <col width="20" customWidth="1" min="2" max="2"/>
  </cols>
  <sheetData>
    <row r="1">
      <c r="A1" s="1" t="inlineStr">
        <is>
          <t>HANA RESIDENCE – QUOTATION AUDIT R3 (client answers applied, 11 Oct 2026)</t>
        </is>
      </c>
    </row>
    <row r="2">
      <c r="A2" t="inlineStr">
        <is>
          <t>Quotation 261015 Grand Total after R3</t>
        </is>
      </c>
      <c r="B2" s="2" t="n">
        <v>1043267.62</v>
      </c>
    </row>
    <row r="3">
      <c r="A3" t="inlineStr">
        <is>
          <t>Sheet total before R3 edits</t>
        </is>
      </c>
      <c r="B3" s="2" t="n">
        <v>971295.16</v>
      </c>
    </row>
    <row r="4">
      <c r="A4" t="inlineStr">
        <is>
          <t>Net change R3 (see sheet 2)</t>
        </is>
      </c>
      <c r="B4" s="2" t="n">
        <v>71972.46000000001</v>
      </c>
    </row>
    <row r="5">
      <c r="A5" t="inlineStr">
        <is>
          <t>Est. gross margin R3 (sheet 3, excl. Porter commission)</t>
        </is>
      </c>
      <c r="B5" t="inlineStr">
        <is>
          <t>≈27.0%  (≈29.6% excl. smart home)</t>
        </is>
      </c>
    </row>
    <row r="6">
      <c r="A6" t="inlineStr"/>
    </row>
    <row r="7">
      <c r="A7" t="inlineStr">
        <is>
          <t>A. Still missing – Priority A</t>
        </is>
      </c>
      <c r="B7" s="2" t="n">
        <v>99590</v>
      </c>
    </row>
    <row r="8">
      <c r="A8" t="inlineStr">
        <is>
          <t>B. Still missing – Priority B</t>
        </is>
      </c>
      <c r="B8" s="2" t="n">
        <v>44750.42</v>
      </c>
    </row>
    <row r="9">
      <c r="A9" t="inlineStr">
        <is>
          <t>C. Optional – Priority C</t>
        </is>
      </c>
      <c r="B9" s="2" t="n">
        <v>8300</v>
      </c>
    </row>
    <row r="10">
      <c r="A10" t="inlineStr"/>
    </row>
    <row r="11">
      <c r="A11" s="3" t="inlineStr">
        <is>
          <t>Revised total – R3 + A</t>
        </is>
      </c>
      <c r="B11" s="4" t="n">
        <v>1142857.62</v>
      </c>
    </row>
    <row r="12">
      <c r="A12" s="3" t="inlineStr">
        <is>
          <t>Revised total – R3 + A + B</t>
        </is>
      </c>
      <c r="B12" s="4" t="n">
        <v>1187608.04</v>
      </c>
    </row>
    <row r="13">
      <c r="A13" t="inlineStr"/>
    </row>
    <row r="14">
      <c r="A14" s="5" t="inlineStr">
        <is>
          <t>Backups: 'Hana Sheon &amp; Tee - BACKUP R1 (09 Oct)' and 'Hana Sheon &amp; Tee - BACKUP R2 (11 Oct)' (state just before R3 edits).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60" customWidth="1" min="3" max="3"/>
    <col width="8" customWidth="1" min="4" max="4"/>
    <col width="7" customWidth="1" min="5" max="5"/>
    <col width="12" customWidth="1" min="6" max="6"/>
    <col width="13" customWidth="1" min="7" max="7"/>
    <col width="60" customWidth="1" min="8" max="8"/>
    <col width="8" customWidth="1" min="9" max="9"/>
  </cols>
  <sheetData>
    <row r="1">
      <c r="A1" s="6" t="inlineStr">
        <is>
          <t>#</t>
        </is>
      </c>
      <c r="B1" s="6" t="inlineStr">
        <is>
          <t>Section</t>
        </is>
      </c>
      <c r="C1" s="6" t="inlineStr">
        <is>
          <t>Item to add</t>
        </is>
      </c>
      <c r="D1" s="6" t="inlineStr">
        <is>
          <t>Qty</t>
        </is>
      </c>
      <c r="E1" s="6" t="inlineStr">
        <is>
          <t>Unit</t>
        </is>
      </c>
      <c r="F1" s="6" t="inlineStr">
        <is>
          <t>Suggested sell rate (RM)</t>
        </is>
      </c>
      <c r="G1" s="6" t="inlineStr">
        <is>
          <t>Amount (RM)</t>
        </is>
      </c>
      <c r="H1" s="6" t="inlineStr">
        <is>
          <t>Why / where seen</t>
        </is>
      </c>
      <c r="I1" s="6" t="inlineStr">
        <is>
          <t>Priority</t>
        </is>
      </c>
    </row>
    <row r="2">
      <c r="A2" s="7" t="n">
        <v>1</v>
      </c>
      <c r="B2" s="7" t="inlineStr">
        <is>
          <t>Curtains</t>
        </is>
      </c>
      <c r="C2" s="7" t="inlineStr">
        <is>
          <t>Curtains &amp; blinds – section now RM0 (sheer 34 ft has no rate; all other rooms deleted after R2). R1/R2 had RM16,280: sheer 34ft@160, kitchen blinds, double-layer Parents/Master/Son, roman WIC/Daughter, laundry/maid blinds</t>
        </is>
      </c>
      <c r="D2" s="7" t="n">
        <v>1</v>
      </c>
      <c r="E2" s="7" t="inlineStr">
        <is>
          <t>L/S</t>
        </is>
      </c>
      <c r="F2" s="8" t="n">
        <v>16280</v>
      </c>
      <c r="G2" s="8" t="n">
        <v>16280</v>
      </c>
      <c r="H2" s="7" t="inlineStr">
        <is>
          <t>If curtains are now by another vendor, add 'Curtains by owner' to Exclusions instead. Do not leave a priced line at RM0.</t>
        </is>
      </c>
      <c r="I2" s="9" t="inlineStr">
        <is>
          <t>A</t>
        </is>
      </c>
    </row>
    <row r="3">
      <c r="A3" s="7" t="n">
        <v>2</v>
      </c>
      <c r="B3" s="7" t="inlineStr">
        <is>
          <t>Preliminaries</t>
        </is>
      </c>
      <c r="C3" s="7" t="inlineStr">
        <is>
          <t>Floor / lift / staircase protection (removed from sheet after R2, was RM2,500)</t>
        </is>
      </c>
      <c r="D3" s="7" t="n">
        <v>1</v>
      </c>
      <c r="E3" s="7" t="inlineStr">
        <is>
          <t>L/S</t>
        </is>
      </c>
      <c r="F3" s="8" t="n">
        <v>2500</v>
      </c>
      <c r="G3" s="8" t="n">
        <v>2500</v>
      </c>
      <c r="H3" s="7" t="inlineStr">
        <is>
          <t>Protection of retained tiles in Son's &amp; Daughter's bathrooms, existing staircase &amp; glass balustrade (kept) is now more important, not less.</t>
        </is>
      </c>
      <c r="I3" s="9" t="inlineStr">
        <is>
          <t>A</t>
        </is>
      </c>
    </row>
    <row r="4">
      <c r="A4" s="7" t="n">
        <v>3</v>
      </c>
      <c r="B4" s="7" t="inlineStr">
        <is>
          <t>Wet Works</t>
        </is>
      </c>
      <c r="C4" s="7" t="inlineStr">
        <is>
          <t>PC Sum – tile MATERIAL: Powder, Master Bath, FF/Parents Bath, Entrance, Laundry floor+wall, Wet Kitchen wall, Terraces (approx. 2,500 sqft incl. 10% wastage @ PC RM12/sqft)</t>
        </is>
      </c>
      <c r="D4" s="7" t="n">
        <v>2500</v>
      </c>
      <c r="E4" s="7" t="inlineStr">
        <is>
          <t>sqft</t>
        </is>
      </c>
      <c r="F4" s="8" t="n">
        <v>12</v>
      </c>
      <c r="G4" s="8" t="n">
        <v>30000</v>
      </c>
      <c r="H4" s="7" t="inlineStr">
        <is>
          <t>Quote still says 'TBC upon final selection' = RM0. Reduced from 3,600 sqft because Son's &amp; Daughter's bathrooms keep existing tiles; terrace 315 sqft added.</t>
        </is>
      </c>
      <c r="I4" s="9" t="inlineStr">
        <is>
          <t>A</t>
        </is>
      </c>
    </row>
    <row r="5">
      <c r="A5" s="7" t="n">
        <v>4</v>
      </c>
      <c r="B5" s="7" t="inlineStr">
        <is>
          <t>Wet Works</t>
        </is>
      </c>
      <c r="C5" s="7" t="inlineStr">
        <is>
          <t>Laundry wall tiles – Dong Peng Limestone JH12352GZ 600x1200 structured (labour)</t>
        </is>
      </c>
      <c r="D5" s="7" t="n">
        <v>180</v>
      </c>
      <c r="E5" s="7" t="inlineStr">
        <is>
          <t>sqft</t>
        </is>
      </c>
      <c r="F5" s="8" t="n">
        <v>35</v>
      </c>
      <c r="G5" s="8" t="n">
        <v>6300</v>
      </c>
      <c r="H5" s="7" t="inlineStr">
        <is>
          <t>GF legend red wall-tile lines along laundry walls. 3D laundry shows full-height wall tile.</t>
        </is>
      </c>
      <c r="I5" s="9" t="inlineStr">
        <is>
          <t>A</t>
        </is>
      </c>
    </row>
    <row r="6">
      <c r="A6" s="7" t="n">
        <v>5</v>
      </c>
      <c r="B6" s="7" t="inlineStr">
        <is>
          <t>Wet Works</t>
        </is>
      </c>
      <c r="C6" s="7" t="inlineStr">
        <is>
          <t>Wet kitchen wall tile – quantity top-up (take-off ~330 vs 250 sqft)</t>
        </is>
      </c>
      <c r="D6" s="7" t="n">
        <v>80</v>
      </c>
      <c r="E6" s="7" t="inlineStr">
        <is>
          <t>sqft</t>
        </is>
      </c>
      <c r="F6" s="8" t="n">
        <v>35</v>
      </c>
      <c r="G6" s="8" t="n">
        <v>2800</v>
      </c>
      <c r="H6" s="7" t="inlineStr"/>
      <c r="I6" s="10" t="inlineStr">
        <is>
          <t>B</t>
        </is>
      </c>
    </row>
    <row r="7">
      <c r="A7" s="7" t="n">
        <v>6</v>
      </c>
      <c r="B7" s="7" t="inlineStr">
        <is>
          <t>Wet Works</t>
        </is>
      </c>
      <c r="C7" s="7" t="inlineStr">
        <is>
          <t>Staircase risers &amp; nosing (Porter covers treads only) – PC sum</t>
        </is>
      </c>
      <c r="D7" s="7" t="n">
        <v>1</v>
      </c>
      <c r="E7" s="7" t="inlineStr">
        <is>
          <t>L/S</t>
        </is>
      </c>
      <c r="F7" s="8" t="n">
        <v>3500</v>
      </c>
      <c r="G7" s="8" t="n">
        <v>3500</v>
      </c>
      <c r="H7" s="7" t="inlineStr">
        <is>
          <t>Still open with Porter.</t>
        </is>
      </c>
      <c r="I7" s="9" t="inlineStr">
        <is>
          <t>A</t>
        </is>
      </c>
    </row>
    <row r="8">
      <c r="A8" s="7" t="n">
        <v>7</v>
      </c>
      <c r="B8" s="7" t="inlineStr">
        <is>
          <t>Wet Works</t>
        </is>
      </c>
      <c r="C8" s="7" t="inlineStr">
        <is>
          <t>Removal of existing timber flooring 1,647 sqft – now written into Demolition L/S description at no extra cost</t>
        </is>
      </c>
      <c r="D8" s="7" t="n">
        <v>1647</v>
      </c>
      <c r="E8" s="7" t="inlineStr">
        <is>
          <t>sqft</t>
        </is>
      </c>
      <c r="F8" s="8" t="n">
        <v>2.86</v>
      </c>
      <c r="G8" s="8" t="n">
        <v>4710.42</v>
      </c>
      <c r="H8" s="7" t="inlineStr">
        <is>
          <t>Confirm the demolition subcon's RM37,145 covers it. If not, cost ~RM2/sqft -&gt; sell RM2.86 (+RM4.7k).</t>
        </is>
      </c>
      <c r="I8" s="10" t="inlineStr">
        <is>
          <t>B</t>
        </is>
      </c>
    </row>
    <row r="9">
      <c r="A9" s="7" t="n">
        <v>8</v>
      </c>
      <c r="B9" s="7" t="inlineStr">
        <is>
          <t>Ceiling</t>
        </is>
      </c>
      <c r="C9" s="7" t="inlineStr">
        <is>
          <t>Ceiling quantity top-up (corridor &amp; stair, powder, utility, maid + under-measured master, WIC, son, daughter)</t>
        </is>
      </c>
      <c r="D9" s="7" t="n">
        <v>1000</v>
      </c>
      <c r="E9" s="7" t="inlineStr">
        <is>
          <t>sqft</t>
        </is>
      </c>
      <c r="F9" s="8" t="n">
        <v>6</v>
      </c>
      <c r="G9" s="8" t="n">
        <v>6000</v>
      </c>
      <c r="H9" s="7" t="inlineStr">
        <is>
          <t>Quote bedroom ceiling 2,799 sqft vs rough take-off ~3,800.</t>
        </is>
      </c>
      <c r="I9" s="10" t="inlineStr">
        <is>
          <t>B</t>
        </is>
      </c>
    </row>
    <row r="10">
      <c r="A10" s="7" t="n">
        <v>9</v>
      </c>
      <c r="B10" s="7" t="inlineStr">
        <is>
          <t>Ceiling</t>
        </is>
      </c>
      <c r="C10" s="7" t="inlineStr">
        <is>
          <t>Moisture-resistant ceiling – Parents Bath &amp; Powder</t>
        </is>
      </c>
      <c r="D10" s="7" t="n">
        <v>70</v>
      </c>
      <c r="E10" s="7" t="inlineStr">
        <is>
          <t>sqft</t>
        </is>
      </c>
      <c r="F10" s="8" t="n">
        <v>7</v>
      </c>
      <c r="G10" s="8" t="n">
        <v>490</v>
      </c>
      <c r="H10" s="7" t="inlineStr">
        <is>
          <t>Son's &amp; Daughter's done in R3.</t>
        </is>
      </c>
      <c r="I10" s="9" t="inlineStr">
        <is>
          <t>A</t>
        </is>
      </c>
    </row>
    <row r="11">
      <c r="A11" s="7" t="n">
        <v>10</v>
      </c>
      <c r="B11" s="7" t="inlineStr">
        <is>
          <t>Ceiling</t>
        </is>
      </c>
      <c r="C11" s="7" t="inlineStr">
        <is>
          <t>AC grille cut-out / access panels (only if ducted / cassette units chosen)</t>
        </is>
      </c>
      <c r="D11" s="7" t="n">
        <v>10</v>
      </c>
      <c r="E11" s="7" t="inlineStr">
        <is>
          <t>nos</t>
        </is>
      </c>
      <c r="F11" s="8" t="n">
        <v>150</v>
      </c>
      <c r="G11" s="8" t="n">
        <v>1500</v>
      </c>
      <c r="H11" s="7" t="inlineStr">
        <is>
          <t>Aircond now quoted as wall-mounted PS – confirm type.</t>
        </is>
      </c>
      <c r="I11" s="11" t="inlineStr">
        <is>
          <t>C</t>
        </is>
      </c>
    </row>
    <row r="12">
      <c r="A12" s="7" t="n">
        <v>11</v>
      </c>
      <c r="B12" s="7" t="inlineStr">
        <is>
          <t>Ceiling</t>
        </is>
      </c>
      <c r="C12" s="7" t="inlineStr">
        <is>
          <t>Curved arch / curved wall-to-ceiling transition at staircase &amp; corridor</t>
        </is>
      </c>
      <c r="D12" s="7" t="n">
        <v>2</v>
      </c>
      <c r="E12" s="7" t="inlineStr">
        <is>
          <t>nos</t>
        </is>
      </c>
      <c r="F12" s="8" t="n">
        <v>1200</v>
      </c>
      <c r="G12" s="8" t="n">
        <v>2400</v>
      </c>
      <c r="H12" s="7" t="inlineStr">
        <is>
          <t>3D p.4-7, p.37.</t>
        </is>
      </c>
      <c r="I12" s="10" t="inlineStr">
        <is>
          <t>B</t>
        </is>
      </c>
    </row>
    <row r="13">
      <c r="A13" s="7" t="n">
        <v>12</v>
      </c>
      <c r="B13" s="7" t="inlineStr">
        <is>
          <t>Preliminaries</t>
        </is>
      </c>
      <c r="C13" s="7" t="inlineStr">
        <is>
          <t>Scaffolding for double-volume void</t>
        </is>
      </c>
      <c r="D13" s="7" t="n">
        <v>1</v>
      </c>
      <c r="E13" s="7" t="inlineStr">
        <is>
          <t>L/S</t>
        </is>
      </c>
      <c r="F13" s="8" t="n">
        <v>3500</v>
      </c>
      <c r="G13" s="8" t="n">
        <v>3500</v>
      </c>
      <c r="H13" s="7" t="inlineStr">
        <is>
          <t>Living/dining void ~6-7 m.</t>
        </is>
      </c>
      <c r="I13" s="9" t="inlineStr">
        <is>
          <t>A</t>
        </is>
      </c>
    </row>
    <row r="14">
      <c r="A14" s="7" t="n">
        <v>13</v>
      </c>
      <c r="B14" s="7" t="inlineStr">
        <is>
          <t>Preliminaries</t>
        </is>
      </c>
      <c r="C14" s="7" t="inlineStr">
        <is>
          <t>Final chemical cleaning, approx. 5,500 sqft</t>
        </is>
      </c>
      <c r="D14" s="7" t="n">
        <v>1</v>
      </c>
      <c r="E14" s="7" t="inlineStr">
        <is>
          <t>L/S</t>
        </is>
      </c>
      <c r="F14" s="8" t="n">
        <v>3800</v>
      </c>
      <c r="G14" s="8" t="n">
        <v>3800</v>
      </c>
      <c r="H14" s="7" t="inlineStr"/>
      <c r="I14" s="9" t="inlineStr">
        <is>
          <t>A</t>
        </is>
      </c>
    </row>
    <row r="15">
      <c r="A15" s="7" t="n">
        <v>14</v>
      </c>
      <c r="B15" s="7" t="inlineStr">
        <is>
          <t>Preliminaries</t>
        </is>
      </c>
      <c r="C15" s="7" t="inlineStr">
        <is>
          <t>Contractor All-Risk insurance</t>
        </is>
      </c>
      <c r="D15" s="7" t="n">
        <v>1</v>
      </c>
      <c r="E15" s="7" t="inlineStr">
        <is>
          <t>L/S</t>
        </is>
      </c>
      <c r="F15" s="8" t="n">
        <v>2500</v>
      </c>
      <c r="G15" s="8" t="n">
        <v>2500</v>
      </c>
      <c r="H15" s="7" t="inlineStr">
        <is>
          <t>Optional.</t>
        </is>
      </c>
      <c r="I15" s="11" t="inlineStr">
        <is>
          <t>C</t>
        </is>
      </c>
    </row>
    <row r="16">
      <c r="A16" s="7" t="n">
        <v>15</v>
      </c>
      <c r="B16" s="7" t="inlineStr">
        <is>
          <t>Joinery</t>
        </is>
      </c>
      <c r="C16" s="7" t="inlineStr">
        <is>
          <t>Foyer / Living divider c/w planter box &amp; concealed lighting</t>
        </is>
      </c>
      <c r="D16" s="7" t="n">
        <v>1</v>
      </c>
      <c r="E16" s="7" t="inlineStr">
        <is>
          <t>nos</t>
        </is>
      </c>
      <c r="F16" s="8" t="n">
        <v>8500</v>
      </c>
      <c r="G16" s="8" t="n">
        <v>8500</v>
      </c>
      <c r="H16" s="7" t="inlineStr">
        <is>
          <t>3D p.8-12, plan label 'DIVIDER'.</t>
        </is>
      </c>
      <c r="I16" s="9" t="inlineStr">
        <is>
          <t>A</t>
        </is>
      </c>
    </row>
    <row r="17">
      <c r="A17" s="7" t="n">
        <v>16</v>
      </c>
      <c r="B17" s="7" t="inlineStr">
        <is>
          <t>Joinery</t>
        </is>
      </c>
      <c r="C17" s="7" t="inlineStr">
        <is>
          <t>Second hidden door @ Utility / Powder</t>
        </is>
      </c>
      <c r="D17" s="7" t="n">
        <v>1</v>
      </c>
      <c r="E17" s="7" t="inlineStr">
        <is>
          <t>nos</t>
        </is>
      </c>
      <c r="F17" s="8" t="n">
        <v>4500</v>
      </c>
      <c r="G17" s="8" t="n">
        <v>4500</v>
      </c>
      <c r="H17" s="7" t="inlineStr">
        <is>
          <t>Plan labels 'HIDDEN DOOR' x2.</t>
        </is>
      </c>
      <c r="I17" s="9" t="inlineStr">
        <is>
          <t>A</t>
        </is>
      </c>
    </row>
    <row r="18">
      <c r="A18" s="7" t="n">
        <v>17</v>
      </c>
      <c r="B18" s="7" t="inlineStr">
        <is>
          <t>Joinery</t>
        </is>
      </c>
      <c r="C18" s="7" t="inlineStr">
        <is>
          <t>Maid room tatami platform c/w storage</t>
        </is>
      </c>
      <c r="D18" s="7" t="n">
        <v>1</v>
      </c>
      <c r="E18" s="7" t="inlineStr">
        <is>
          <t>nos</t>
        </is>
      </c>
      <c r="F18" s="8" t="n">
        <v>2800</v>
      </c>
      <c r="G18" s="8" t="n">
        <v>2800</v>
      </c>
      <c r="H18" s="7" t="inlineStr"/>
      <c r="I18" s="10" t="inlineStr">
        <is>
          <t>B</t>
        </is>
      </c>
    </row>
    <row r="19">
      <c r="A19" s="7" t="n">
        <v>18</v>
      </c>
      <c r="B19" s="7" t="inlineStr">
        <is>
          <t>Joinery</t>
        </is>
      </c>
      <c r="C19" s="7" t="inlineStr">
        <is>
          <t>Parents Bath – floating vanity + tall storage cabinet</t>
        </is>
      </c>
      <c r="D19" s="7" t="n">
        <v>1</v>
      </c>
      <c r="E19" s="7" t="inlineStr">
        <is>
          <t>L/S</t>
        </is>
      </c>
      <c r="F19" s="8" t="n">
        <v>6000</v>
      </c>
      <c r="G19" s="8" t="n">
        <v>6000</v>
      </c>
      <c r="H19" s="7" t="inlineStr">
        <is>
          <t>3D p.43. Depends on 'First Floor Bathroom' = Parents Bath.</t>
        </is>
      </c>
      <c r="I19" s="9" t="inlineStr">
        <is>
          <t>A</t>
        </is>
      </c>
    </row>
    <row r="20">
      <c r="A20" s="7" t="n">
        <v>19</v>
      </c>
      <c r="B20" s="7" t="inlineStr">
        <is>
          <t>Joinery</t>
        </is>
      </c>
      <c r="C20" s="7" t="inlineStr">
        <is>
          <t>Parents Bath – mirror cabinet c/w LED</t>
        </is>
      </c>
      <c r="D20" s="7" t="n">
        <v>1</v>
      </c>
      <c r="E20" s="7" t="inlineStr">
        <is>
          <t>nos</t>
        </is>
      </c>
      <c r="F20" s="8" t="n">
        <v>1200</v>
      </c>
      <c r="G20" s="8" t="n">
        <v>1200</v>
      </c>
      <c r="H20" s="7" t="inlineStr">
        <is>
          <t>Son's &amp; Daughter's done in R3.</t>
        </is>
      </c>
      <c r="I20" s="9" t="inlineStr">
        <is>
          <t>A</t>
        </is>
      </c>
    </row>
    <row r="21">
      <c r="A21" s="7" t="n">
        <v>20</v>
      </c>
      <c r="B21" s="7" t="inlineStr">
        <is>
          <t>Joinery</t>
        </is>
      </c>
      <c r="C21" s="7" t="inlineStr">
        <is>
          <t>Powder room – vanity / stone basin base &amp; mirror</t>
        </is>
      </c>
      <c r="D21" s="7" t="n">
        <v>1</v>
      </c>
      <c r="E21" s="7" t="inlineStr">
        <is>
          <t>L/S</t>
        </is>
      </c>
      <c r="F21" s="8" t="n">
        <v>3000</v>
      </c>
      <c r="G21" s="8" t="n">
        <v>3000</v>
      </c>
      <c r="H21" s="7" t="inlineStr">
        <is>
          <t>3D p.44.</t>
        </is>
      </c>
      <c r="I21" s="10" t="inlineStr">
        <is>
          <t>B</t>
        </is>
      </c>
    </row>
    <row r="22">
      <c r="A22" s="7" t="n">
        <v>21</v>
      </c>
      <c r="B22" s="7" t="inlineStr">
        <is>
          <t>Joinery</t>
        </is>
      </c>
      <c r="C22" s="7" t="inlineStr">
        <is>
          <t>Staircase side wall – full-height V-groove panelling</t>
        </is>
      </c>
      <c r="D22" s="7" t="n">
        <v>1</v>
      </c>
      <c r="E22" s="7" t="inlineStr">
        <is>
          <t>L/S</t>
        </is>
      </c>
      <c r="F22" s="8" t="n">
        <v>8500</v>
      </c>
      <c r="G22" s="8" t="n">
        <v>8500</v>
      </c>
      <c r="H22" s="7" t="inlineStr">
        <is>
          <t>3D p.37-38.</t>
        </is>
      </c>
      <c r="I22" s="10" t="inlineStr">
        <is>
          <t>B</t>
        </is>
      </c>
    </row>
    <row r="23">
      <c r="A23" s="7" t="n">
        <v>22</v>
      </c>
      <c r="B23" s="7" t="inlineStr">
        <is>
          <t>Joinery</t>
        </is>
      </c>
      <c r="C23" s="7" t="inlineStr">
        <is>
          <t>Master Bath – open-shelf tall storage</t>
        </is>
      </c>
      <c r="D23" s="7" t="n">
        <v>1</v>
      </c>
      <c r="E23" s="7" t="inlineStr">
        <is>
          <t>nos</t>
        </is>
      </c>
      <c r="F23" s="8" t="n">
        <v>3500</v>
      </c>
      <c r="G23" s="8" t="n">
        <v>3500</v>
      </c>
      <c r="H23" s="7" t="inlineStr"/>
      <c r="I23" s="11" t="inlineStr">
        <is>
          <t>C</t>
        </is>
      </c>
    </row>
    <row r="24">
      <c r="A24" s="7" t="n">
        <v>23</v>
      </c>
      <c r="B24" s="7" t="inlineStr">
        <is>
          <t>Table Top</t>
        </is>
      </c>
      <c r="C24" s="7" t="inlineStr">
        <is>
          <t>Dry Kitchen island top-up for 900 deep + waterfall ends</t>
        </is>
      </c>
      <c r="D24" s="7" t="n">
        <v>1</v>
      </c>
      <c r="E24" s="7" t="inlineStr">
        <is>
          <t>L/S</t>
        </is>
      </c>
      <c r="F24" s="8" t="n">
        <v>3400</v>
      </c>
      <c r="G24" s="8" t="n">
        <v>3400</v>
      </c>
      <c r="H24" s="7" t="inlineStr"/>
      <c r="I24" s="9" t="inlineStr">
        <is>
          <t>A</t>
        </is>
      </c>
    </row>
    <row r="25">
      <c r="A25" s="7" t="n">
        <v>24</v>
      </c>
      <c r="B25" s="7" t="inlineStr">
        <is>
          <t>Table Top</t>
        </is>
      </c>
      <c r="C25" s="7" t="inlineStr">
        <is>
          <t>Parents Bath vanity top + open hole</t>
        </is>
      </c>
      <c r="D25" s="7" t="n">
        <v>1</v>
      </c>
      <c r="E25" s="7" t="inlineStr">
        <is>
          <t>L/S</t>
        </is>
      </c>
      <c r="F25" s="8" t="n">
        <v>1270</v>
      </c>
      <c r="G25" s="8" t="n">
        <v>1270</v>
      </c>
      <c r="H25" s="7" t="inlineStr">
        <is>
          <t>4 ft @ 280 + 1 hole @ 150.</t>
        </is>
      </c>
      <c r="I25" s="9" t="inlineStr">
        <is>
          <t>A</t>
        </is>
      </c>
    </row>
    <row r="26">
      <c r="A26" s="7" t="n">
        <v>25</v>
      </c>
      <c r="B26" s="7" t="inlineStr">
        <is>
          <t>Doors &amp; Windows</t>
        </is>
      </c>
      <c r="C26" s="7" t="inlineStr">
        <is>
          <t>10mm tempered glass shower screen – Parents Bath</t>
        </is>
      </c>
      <c r="D26" s="7" t="n">
        <v>1</v>
      </c>
      <c r="E26" s="7" t="inlineStr">
        <is>
          <t>nos</t>
        </is>
      </c>
      <c r="F26" s="8" t="n">
        <v>1800</v>
      </c>
      <c r="G26" s="8" t="n">
        <v>1800</v>
      </c>
      <c r="H26" s="7" t="inlineStr">
        <is>
          <t>Son's &amp; Daughter's keep existing.</t>
        </is>
      </c>
      <c r="I26" s="9" t="inlineStr">
        <is>
          <t>A</t>
        </is>
      </c>
    </row>
    <row r="27">
      <c r="A27" s="7" t="n">
        <v>26</v>
      </c>
      <c r="B27" s="7" t="inlineStr">
        <is>
          <t>Doors &amp; Windows</t>
        </is>
      </c>
      <c r="C27" s="7" t="inlineStr">
        <is>
          <t>Existing doors – refurbish / laminate c/w new black lever handles (~10 leaves)</t>
        </is>
      </c>
      <c r="D27" s="7" t="n">
        <v>10</v>
      </c>
      <c r="E27" s="7" t="inlineStr">
        <is>
          <t>nos</t>
        </is>
      </c>
      <c r="F27" s="8" t="n">
        <v>650</v>
      </c>
      <c r="G27" s="8" t="n">
        <v>6500</v>
      </c>
      <c r="H27" s="7" t="inlineStr"/>
      <c r="I27" s="10" t="inlineStr">
        <is>
          <t>B</t>
        </is>
      </c>
    </row>
    <row r="28">
      <c r="A28" s="7" t="n">
        <v>27</v>
      </c>
      <c r="B28" s="7" t="inlineStr">
        <is>
          <t>Electrical</t>
        </is>
      </c>
      <c r="C28" s="7" t="inlineStr">
        <is>
          <t>32A dedicated point for induction hob (hob by owner, point by Groo)</t>
        </is>
      </c>
      <c r="D28" s="7" t="n">
        <v>1</v>
      </c>
      <c r="E28" s="7" t="inlineStr">
        <is>
          <t>nos</t>
        </is>
      </c>
      <c r="F28" s="8" t="n">
        <v>650</v>
      </c>
      <c r="G28" s="8" t="n">
        <v>650</v>
      </c>
      <c r="H28" s="7" t="inlineStr"/>
      <c r="I28" s="9" t="inlineStr">
        <is>
          <t>A</t>
        </is>
      </c>
    </row>
    <row r="29">
      <c r="A29" s="7" t="n">
        <v>28</v>
      </c>
      <c r="B29" s="7" t="inlineStr">
        <is>
          <t>Electrical</t>
        </is>
      </c>
      <c r="C29" s="7" t="inlineStr">
        <is>
          <t>Additional 15A points – water heaters, dishwasher, wine chiller</t>
        </is>
      </c>
      <c r="D29" s="7" t="n">
        <v>4</v>
      </c>
      <c r="E29" s="7" t="inlineStr">
        <is>
          <t>nos</t>
        </is>
      </c>
      <c r="F29" s="8" t="n">
        <v>350</v>
      </c>
      <c r="G29" s="8" t="n">
        <v>1400</v>
      </c>
      <c r="H29" s="7" t="inlineStr"/>
      <c r="I29" s="9" t="inlineStr">
        <is>
          <t>A</t>
        </is>
      </c>
    </row>
    <row r="30">
      <c r="A30" s="7" t="n">
        <v>29</v>
      </c>
      <c r="B30" s="7" t="inlineStr">
        <is>
          <t>Electrical</t>
        </is>
      </c>
      <c r="C30" s="7" t="inlineStr">
        <is>
          <t>PROVISIONAL – DB upgrade / sub-DB (smart home + aircond + heavy appliances)</t>
        </is>
      </c>
      <c r="D30" s="7" t="n">
        <v>1</v>
      </c>
      <c r="E30" s="7" t="inlineStr">
        <is>
          <t>L/S</t>
        </is>
      </c>
      <c r="F30" s="8" t="n">
        <v>4500</v>
      </c>
      <c r="G30" s="8" t="n">
        <v>4500</v>
      </c>
      <c r="H30" s="7" t="inlineStr">
        <is>
          <t>Aircond now in scope -&gt; load increases.</t>
        </is>
      </c>
      <c r="I30" s="9" t="inlineStr">
        <is>
          <t>A</t>
        </is>
      </c>
    </row>
    <row r="31">
      <c r="A31" s="7" t="n">
        <v>30</v>
      </c>
      <c r="B31" s="7" t="inlineStr">
        <is>
          <t>Electrical</t>
        </is>
      </c>
      <c r="C31" s="7" t="inlineStr">
        <is>
          <t>Aircond power points – top-up to match 6 units in PS (4 quoted)</t>
        </is>
      </c>
      <c r="D31" s="7" t="n">
        <v>2</v>
      </c>
      <c r="E31" s="7" t="inlineStr">
        <is>
          <t>nos</t>
        </is>
      </c>
      <c r="F31" s="8" t="n">
        <v>300</v>
      </c>
      <c r="G31" s="8" t="n">
        <v>600</v>
      </c>
      <c r="H31" s="7" t="inlineStr"/>
      <c r="I31" s="10" t="inlineStr">
        <is>
          <t>B</t>
        </is>
      </c>
    </row>
    <row r="32">
      <c r="A32" s="7" t="n">
        <v>31</v>
      </c>
      <c r="B32" s="7" t="inlineStr">
        <is>
          <t>Electrical</t>
        </is>
      </c>
      <c r="C32" s="7" t="inlineStr">
        <is>
          <t>LED step-light points @ staircase</t>
        </is>
      </c>
      <c r="D32" s="7" t="n">
        <v>10</v>
      </c>
      <c r="E32" s="7" t="inlineStr">
        <is>
          <t>nos</t>
        </is>
      </c>
      <c r="F32" s="8" t="n">
        <v>160</v>
      </c>
      <c r="G32" s="8" t="n">
        <v>1600</v>
      </c>
      <c r="H32" s="7" t="inlineStr"/>
      <c r="I32" s="10" t="inlineStr">
        <is>
          <t>B</t>
        </is>
      </c>
    </row>
    <row r="33">
      <c r="A33" s="7" t="n">
        <v>32</v>
      </c>
      <c r="B33" s="7" t="inlineStr">
        <is>
          <t>Electrical</t>
        </is>
      </c>
      <c r="C33" s="7" t="inlineStr">
        <is>
          <t>Exhaust fan points – powder &amp; bathrooms</t>
        </is>
      </c>
      <c r="D33" s="7" t="n">
        <v>4</v>
      </c>
      <c r="E33" s="7" t="inlineStr">
        <is>
          <t>nos</t>
        </is>
      </c>
      <c r="F33" s="8" t="n">
        <v>200</v>
      </c>
      <c r="G33" s="8" t="n">
        <v>800</v>
      </c>
      <c r="H33" s="7" t="inlineStr"/>
      <c r="I33" s="11" t="inlineStr">
        <is>
          <t>C</t>
        </is>
      </c>
    </row>
    <row r="34">
      <c r="A34" s="7" t="n">
        <v>33</v>
      </c>
      <c r="B34" s="7" t="inlineStr">
        <is>
          <t>Plumbing</t>
        </is>
      </c>
      <c r="C34" s="7" t="inlineStr">
        <is>
          <t>PROVISIONAL – piping re-route for new vanity positions (Parents, Son's, Daughter's)</t>
        </is>
      </c>
      <c r="D34" s="7" t="n">
        <v>3</v>
      </c>
      <c r="E34" s="7" t="inlineStr">
        <is>
          <t>nos</t>
        </is>
      </c>
      <c r="F34" s="8" t="n">
        <v>1200</v>
      </c>
      <c r="G34" s="8" t="n">
        <v>3600</v>
      </c>
      <c r="H34" s="7" t="inlineStr">
        <is>
          <t>New vanity cabinets may not match existing inlet/outlet positions.</t>
        </is>
      </c>
      <c r="I34" s="10" t="inlineStr">
        <is>
          <t>B</t>
        </is>
      </c>
    </row>
    <row r="35">
      <c r="A35" s="7" t="n">
        <v>34</v>
      </c>
      <c r="B35" s="7" t="inlineStr">
        <is>
          <t>Curtains</t>
        </is>
      </c>
      <c r="C35" s="7" t="inlineStr">
        <is>
          <t>Family Area – full-height sheer + night curtain</t>
        </is>
      </c>
      <c r="D35" s="7" t="n">
        <v>14</v>
      </c>
      <c r="E35" s="7" t="inlineStr">
        <is>
          <t>ft</t>
        </is>
      </c>
      <c r="F35" s="8" t="n">
        <v>160</v>
      </c>
      <c r="G35" s="8" t="n">
        <v>2240</v>
      </c>
      <c r="H35" s="7" t="inlineStr">
        <is>
          <t>3D p.41-44.</t>
        </is>
      </c>
      <c r="I35" s="10" t="inlineStr">
        <is>
          <t>B</t>
        </is>
      </c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inlineStr"/>
      <c r="B37" s="7" t="inlineStr"/>
      <c r="C37" s="12" t="inlineStr">
        <is>
          <t>TOTAL – Priority A</t>
        </is>
      </c>
      <c r="D37" s="7" t="inlineStr"/>
      <c r="E37" s="7" t="inlineStr"/>
      <c r="F37" s="7" t="inlineStr"/>
      <c r="G37" s="13">
        <f>SUMIF(I2:I35,"A",G2:G35)</f>
        <v/>
      </c>
      <c r="H37" s="7" t="n"/>
      <c r="I37" s="7" t="n"/>
    </row>
    <row r="38">
      <c r="A38" s="7" t="inlineStr"/>
      <c r="B38" s="7" t="inlineStr"/>
      <c r="C38" s="12" t="inlineStr">
        <is>
          <t>TOTAL – Priority B</t>
        </is>
      </c>
      <c r="D38" s="7" t="inlineStr"/>
      <c r="E38" s="7" t="inlineStr"/>
      <c r="F38" s="7" t="inlineStr"/>
      <c r="G38" s="13">
        <f>SUMIF(I2:I35,"B",G2:G35)</f>
        <v/>
      </c>
      <c r="H38" s="7" t="n"/>
      <c r="I38" s="7" t="n"/>
    </row>
    <row r="39">
      <c r="A39" s="7" t="inlineStr"/>
      <c r="B39" s="7" t="inlineStr"/>
      <c r="C39" s="12" t="inlineStr">
        <is>
          <t>TOTAL – Priority C</t>
        </is>
      </c>
      <c r="D39" s="7" t="inlineStr"/>
      <c r="E39" s="7" t="inlineStr"/>
      <c r="F39" s="7" t="inlineStr"/>
      <c r="G39" s="13">
        <f>SUMIF(I2:I35,"C",G2:G35)</f>
        <v/>
      </c>
      <c r="H39" s="7" t="n"/>
      <c r="I39" s="7" t="n"/>
    </row>
    <row r="40">
      <c r="A40" s="7" t="inlineStr"/>
      <c r="B40" s="7" t="inlineStr"/>
      <c r="C40" s="12" t="inlineStr">
        <is>
          <t>TOTAL – all</t>
        </is>
      </c>
      <c r="D40" s="7" t="inlineStr"/>
      <c r="E40" s="7" t="inlineStr"/>
      <c r="F40" s="7" t="inlineStr"/>
      <c r="G40" s="13">
        <f>SUM(G2:G35)</f>
        <v/>
      </c>
      <c r="H40" s="7" t="n"/>
      <c r="I4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22" customWidth="1" min="3" max="3"/>
    <col width="30" customWidth="1" min="4" max="4"/>
    <col width="13" customWidth="1" min="5" max="5"/>
  </cols>
  <sheetData>
    <row r="1">
      <c r="A1" s="6" t="inlineStr">
        <is>
          <t>Section</t>
        </is>
      </c>
      <c r="B1" s="6" t="inlineStr">
        <is>
          <t>Change</t>
        </is>
      </c>
      <c r="C1" s="6" t="inlineStr">
        <is>
          <t>Before</t>
        </is>
      </c>
      <c r="D1" s="6" t="inlineStr">
        <is>
          <t>After</t>
        </is>
      </c>
      <c r="E1" s="6" t="inlineStr">
        <is>
          <t>Δ RM</t>
        </is>
      </c>
    </row>
    <row r="2">
      <c r="A2" s="7" t="inlineStr">
        <is>
          <t>Header</t>
        </is>
      </c>
      <c r="B2" s="7" t="inlineStr">
        <is>
          <t>F6 date</t>
        </is>
      </c>
      <c r="C2" s="7" t="inlineStr">
        <is>
          <t>10/8/2026</t>
        </is>
      </c>
      <c r="D2" s="7" t="inlineStr">
        <is>
          <t>08 Oct 2026</t>
        </is>
      </c>
      <c r="E2" s="8" t="n">
        <v>0</v>
      </c>
    </row>
    <row r="3">
      <c r="A3" s="7" t="inlineStr">
        <is>
          <t>Header</t>
        </is>
      </c>
      <c r="B3" s="7" t="inlineStr">
        <is>
          <t>J8 company address</t>
        </is>
      </c>
      <c r="C3" s="7" t="inlineStr">
        <is>
          <t>143 Jln Desa Utama, Taman Danau Desa</t>
        </is>
      </c>
      <c r="D3" s="7" t="inlineStr">
        <is>
          <t>Level 3A, Wisma JAG, Jalan Desa Utama, Taman Desa, 58100 KL</t>
        </is>
      </c>
      <c r="E3" s="8" t="n">
        <v>0</v>
      </c>
    </row>
    <row r="4">
      <c r="A4" s="7" t="inlineStr">
        <is>
          <t>1.0 Ceiling</t>
        </is>
      </c>
      <c r="B4" s="7" t="inlineStr">
        <is>
          <t>Son's &amp; Daughter's Bathroom – dismantle + 9mm MR ceiling c/w access panel (new rows 84-85)</t>
        </is>
      </c>
      <c r="C4" s="7" t="inlineStr">
        <is>
          <t>-</t>
        </is>
      </c>
      <c r="D4" s="7" t="inlineStr">
        <is>
          <t>162 sqft @ RM9</t>
        </is>
      </c>
      <c r="E4" s="8" t="n">
        <v>1458</v>
      </c>
    </row>
    <row r="5">
      <c r="A5" s="7" t="inlineStr">
        <is>
          <t>2.0 Painting</t>
        </is>
      </c>
      <c r="B5" s="7" t="inlineStr">
        <is>
          <t>Ceiling paint qty now includes bathroom ceiling</t>
        </is>
      </c>
      <c r="C5" s="7" t="inlineStr">
        <is>
          <t>2,799</t>
        </is>
      </c>
      <c r="D5" s="7" t="inlineStr">
        <is>
          <t>2,961 sqft</t>
        </is>
      </c>
      <c r="E5" s="8" t="n">
        <v>162</v>
      </c>
    </row>
    <row r="6">
      <c r="A6" s="7" t="inlineStr">
        <is>
          <t>3.0 Wet Works</t>
        </is>
      </c>
      <c r="B6" s="7" t="inlineStr">
        <is>
          <t>Son's Bathroom tiling, floor trap, mitre – deleted (tiles remain)</t>
        </is>
      </c>
      <c r="C6" s="7" t="inlineStr">
        <is>
          <t>15,324.14</t>
        </is>
      </c>
      <c r="D6" s="7" t="inlineStr">
        <is>
          <t>0</t>
        </is>
      </c>
      <c r="E6" s="8" t="n">
        <v>-15324.14</v>
      </c>
    </row>
    <row r="7">
      <c r="A7" s="7" t="inlineStr">
        <is>
          <t>3.0 Wet Works</t>
        </is>
      </c>
      <c r="B7" s="7" t="inlineStr">
        <is>
          <t>Daughter's Bathroom tiling, floor trap, mitre – deleted (tiles remain)</t>
        </is>
      </c>
      <c r="C7" s="7" t="inlineStr">
        <is>
          <t>14,407.72</t>
        </is>
      </c>
      <c r="D7" s="7" t="inlineStr">
        <is>
          <t>0</t>
        </is>
      </c>
      <c r="E7" s="8" t="n">
        <v>-14407.72</v>
      </c>
    </row>
    <row r="8">
      <c r="A8" s="7" t="inlineStr">
        <is>
          <t>3.0 Wet Works</t>
        </is>
      </c>
      <c r="B8" s="7" t="inlineStr">
        <is>
          <t>Terrace 1, 2 &amp; 3 – outdoor anti-slip tiles c/w screed to fall, waterproofing, ponding test (labour; tile material TBC)</t>
        </is>
      </c>
      <c r="C8" s="7" t="inlineStr">
        <is>
          <t>-</t>
        </is>
      </c>
      <c r="D8" s="7" t="inlineStr">
        <is>
          <t>315 sqft @ RM45 (cost 31.5/0.7)</t>
        </is>
      </c>
      <c r="E8" s="8" t="n">
        <v>14175</v>
      </c>
    </row>
    <row r="9">
      <c r="A9" s="7" t="inlineStr">
        <is>
          <t>3.0 Wet Works</t>
        </is>
      </c>
      <c r="B9" s="7" t="inlineStr">
        <is>
          <t>Screed -&gt; cement screed + self-levelling for glue-down (Porter 20-yr warranty)</t>
        </is>
      </c>
      <c r="C9" s="7" t="inlineStr">
        <is>
          <t>1,647 @ RM5</t>
        </is>
      </c>
      <c r="D9" s="7" t="inlineStr">
        <is>
          <t>1,647 @ RM8</t>
        </is>
      </c>
      <c r="E9" s="8" t="n">
        <v>4941</v>
      </c>
    </row>
    <row r="10">
      <c r="A10" s="7" t="inlineStr">
        <is>
          <t>3.0 Wet Works</t>
        </is>
      </c>
      <c r="B10" s="7" t="inlineStr">
        <is>
          <t>Demolition L/S description – adds removal of existing timber flooring; bathroom scope changed (amount unchanged)</t>
        </is>
      </c>
      <c r="C10" s="7" t="inlineStr">
        <is>
          <t>53,064.29</t>
        </is>
      </c>
      <c r="D10" s="7" t="inlineStr">
        <is>
          <t>53,064.29</t>
        </is>
      </c>
      <c r="E10" s="8" t="n">
        <v>0</v>
      </c>
    </row>
    <row r="11">
      <c r="A11" s="7" t="inlineStr">
        <is>
          <t>4.0 Plumbing</t>
        </is>
      </c>
      <c r="B11" s="7" t="inlineStr">
        <is>
          <t>Water heater installation @ Master &amp; First Floor Bath (heater by owner)</t>
        </is>
      </c>
      <c r="C11" s="7" t="inlineStr">
        <is>
          <t>-</t>
        </is>
      </c>
      <c r="D11" s="7" t="inlineStr">
        <is>
          <t>2 @ RM250</t>
        </is>
      </c>
      <c r="E11" s="8" t="n">
        <v>500</v>
      </c>
    </row>
    <row r="12">
      <c r="A12" s="7" t="inlineStr">
        <is>
          <t>4.0 Plumbing</t>
        </is>
      </c>
      <c r="B12" s="7" t="inlineStr">
        <is>
          <t>Descriptions: sinks/taps/appliances &amp; water heaters by owner; bathroom reinstall line covers basin re-fix to new vanity</t>
        </is>
      </c>
      <c r="C12" s="7" t="inlineStr">
        <is>
          <t>-</t>
        </is>
      </c>
      <c r="D12" s="7" t="inlineStr">
        <is>
          <t>-</t>
        </is>
      </c>
      <c r="E12" s="8" t="n">
        <v>0</v>
      </c>
    </row>
    <row r="13">
      <c r="A13" s="7" t="inlineStr">
        <is>
          <t>7.0 Doors &amp; Windows</t>
        </is>
      </c>
      <c r="B13" s="7" t="inlineStr">
        <is>
          <t>Wet Kitchen Option 2 – hack &amp; enlarge sink-wall window c/w new black alu window</t>
        </is>
      </c>
      <c r="C13" s="7" t="inlineStr">
        <is>
          <t>-</t>
        </is>
      </c>
      <c r="D13" s="7" t="inlineStr">
        <is>
          <t>L/S RM4,500</t>
        </is>
      </c>
      <c r="E13" s="8" t="n">
        <v>4500</v>
      </c>
    </row>
    <row r="14">
      <c r="A14" s="7" t="inlineStr">
        <is>
          <t>8.0 Joinery</t>
        </is>
      </c>
      <c r="B14" s="7" t="inlineStr">
        <is>
          <t>Son's &amp; Daughter's Bath – floating vanity sink cabinet x2 + mirror cabinet c/w LED x2</t>
        </is>
      </c>
      <c r="C14" s="7" t="inlineStr">
        <is>
          <t>-</t>
        </is>
      </c>
      <c r="D14" s="7" t="inlineStr">
        <is>
          <t>2 @ 2,600 + 2 @ 1,200</t>
        </is>
      </c>
      <c r="E14" s="8" t="n">
        <v>7600</v>
      </c>
    </row>
    <row r="15">
      <c r="A15" s="7" t="inlineStr">
        <is>
          <t>8.0 Joinery</t>
        </is>
      </c>
      <c r="B15" s="7" t="inlineStr">
        <is>
          <t>Master Bedroom – TV wall reworded to Option 2 (twin round columns + low fireplace plinth)</t>
        </is>
      </c>
      <c r="C15" s="7" t="inlineStr">
        <is>
          <t>13,500</t>
        </is>
      </c>
      <c r="D15" s="7" t="inlineStr">
        <is>
          <t>13,500</t>
        </is>
      </c>
      <c r="E15" s="8" t="n">
        <v>0</v>
      </c>
    </row>
    <row r="16">
      <c r="A16" s="7" t="inlineStr">
        <is>
          <t>9.0 Table Top</t>
        </is>
      </c>
      <c r="B16" s="7" t="inlineStr">
        <is>
          <t>Son's &amp; Daughter's vanity top 6 ft @ 280 + 2 more open holes</t>
        </is>
      </c>
      <c r="C16" s="7" t="inlineStr">
        <is>
          <t>-</t>
        </is>
      </c>
      <c r="D16" s="7" t="inlineStr">
        <is>
          <t>1,680 + 300</t>
        </is>
      </c>
      <c r="E16" s="8" t="n">
        <v>1980</v>
      </c>
    </row>
    <row r="17">
      <c r="A17" s="7" t="inlineStr">
        <is>
          <t>12.0 Smart Home</t>
        </is>
      </c>
      <c r="B17" s="7" t="inlineStr">
        <is>
          <t>15% markup on all 5 lines; supplier name removed from client note</t>
        </is>
      </c>
      <c r="C17" s="7" t="inlineStr">
        <is>
          <t>142,588.80</t>
        </is>
      </c>
      <c r="D17" s="7" t="inlineStr">
        <is>
          <t>163,977.12</t>
        </is>
      </c>
      <c r="E17" s="8" t="n">
        <v>21388.32</v>
      </c>
    </row>
    <row r="18">
      <c r="A18" s="7" t="inlineStr">
        <is>
          <t>13.0 Air-Cond</t>
        </is>
      </c>
      <c r="B18" s="7" t="inlineStr">
        <is>
          <t>PROVISIONAL SUM – 6 inverter wall-mounted units c/w piping @ RM5,000</t>
        </is>
      </c>
      <c r="C18" s="7" t="inlineStr">
        <is>
          <t>Not included</t>
        </is>
      </c>
      <c r="D18" s="7" t="inlineStr">
        <is>
          <t>30,000</t>
        </is>
      </c>
      <c r="E18" s="8" t="n">
        <v>30000</v>
      </c>
    </row>
    <row r="19">
      <c r="A19" s="7" t="inlineStr">
        <is>
          <t>14.0 Landscape</t>
        </is>
      </c>
      <c r="B19" s="7" t="inlineStr">
        <is>
          <t>PROVISIONAL SUM – front garden &amp; terraces</t>
        </is>
      </c>
      <c r="C19" s="7" t="inlineStr">
        <is>
          <t>-</t>
        </is>
      </c>
      <c r="D19" s="7" t="inlineStr">
        <is>
          <t>15,000</t>
        </is>
      </c>
      <c r="E19" s="8" t="n">
        <v>15000</v>
      </c>
    </row>
    <row r="20">
      <c r="A20" s="7" t="inlineStr">
        <is>
          <t>Exclusions</t>
        </is>
      </c>
      <c r="B20" s="7" t="inlineStr">
        <is>
          <t>New block under Grand Total: loose furniture, appliances, sanitary, taps &amp; sinks, water heaters, decorative lights, fireplace, artwork; gate; JMB deposit/permits</t>
        </is>
      </c>
      <c r="C20" s="7" t="inlineStr">
        <is>
          <t>-</t>
        </is>
      </c>
      <c r="D20" s="7" t="inlineStr">
        <is>
          <t>-</t>
        </is>
      </c>
      <c r="E20" s="8" t="n">
        <v>0</v>
      </c>
    </row>
    <row r="21">
      <c r="A21" s="7" t="inlineStr">
        <is>
          <t>Payment terms</t>
        </is>
      </c>
      <c r="B21" s="7" t="inlineStr">
        <is>
          <t>Smart Home billed separately: 50% deposit / 40% delivery / 10% T&amp;C</t>
        </is>
      </c>
      <c r="C21" s="7" t="inlineStr">
        <is>
          <t>-</t>
        </is>
      </c>
      <c r="D21" s="7" t="inlineStr">
        <is>
          <t>-</t>
        </is>
      </c>
      <c r="E21" s="8" t="n">
        <v>0</v>
      </c>
    </row>
    <row r="22">
      <c r="A22" s="7" t="inlineStr"/>
      <c r="B22" s="12" t="inlineStr">
        <is>
          <t>NET CHANGE</t>
        </is>
      </c>
      <c r="C22" s="7" t="inlineStr"/>
      <c r="D22" s="7" t="inlineStr"/>
      <c r="E22" s="7">
        <f>SUM(E2:E21)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6" customWidth="1" min="4" max="4"/>
    <col width="9" customWidth="1" min="5" max="5"/>
  </cols>
  <sheetData>
    <row r="1">
      <c r="A1" s="6" t="inlineStr">
        <is>
          <t>Section</t>
        </is>
      </c>
      <c r="B1" s="6" t="inlineStr">
        <is>
          <t>Quoted (RM)</t>
        </is>
      </c>
      <c r="C1" s="6" t="inlineStr">
        <is>
          <t>Est. cost (RM)</t>
        </is>
      </c>
      <c r="D1" s="6" t="inlineStr">
        <is>
          <t>Gross profit (RM)</t>
        </is>
      </c>
      <c r="E1" s="6" t="inlineStr">
        <is>
          <t>GP %</t>
        </is>
      </c>
    </row>
    <row r="2">
      <c r="A2" s="7" t="inlineStr">
        <is>
          <t>Preliminaries</t>
        </is>
      </c>
      <c r="B2" s="14" t="n">
        <v>2100</v>
      </c>
      <c r="C2" s="14" t="n">
        <v>1500</v>
      </c>
      <c r="D2" s="14">
        <f>B2-C2</f>
        <v/>
      </c>
      <c r="E2" s="15">
        <f>IF(B2=0,0,D2/B2)</f>
        <v/>
      </c>
    </row>
    <row r="3">
      <c r="A3" s="7" t="inlineStr">
        <is>
          <t>1.0 Ceiling</t>
        </is>
      </c>
      <c r="B3" s="14" t="n">
        <v>38659</v>
      </c>
      <c r="C3" s="14" t="n">
        <v>27100</v>
      </c>
      <c r="D3" s="14">
        <f>B3-C3</f>
        <v/>
      </c>
      <c r="E3" s="15">
        <f>IF(B3=0,0,D3/B3)</f>
        <v/>
      </c>
    </row>
    <row r="4">
      <c r="A4" s="7" t="inlineStr">
        <is>
          <t>2.0 Painting</t>
        </is>
      </c>
      <c r="B4" s="14" t="n">
        <v>24761</v>
      </c>
      <c r="C4" s="14" t="n">
        <v>17100</v>
      </c>
      <c r="D4" s="14">
        <f>B4-C4</f>
        <v/>
      </c>
      <c r="E4" s="15">
        <f>IF(B4=0,0,D4/B4)</f>
        <v/>
      </c>
    </row>
    <row r="5">
      <c r="A5" s="7" t="inlineStr">
        <is>
          <t>3.0 Demolition &amp; Masonry / Wet Works</t>
        </is>
      </c>
      <c r="B5" s="14" t="n">
        <v>247447.5</v>
      </c>
      <c r="C5" s="14" t="n">
        <v>176850</v>
      </c>
      <c r="D5" s="14">
        <f>B5-C5</f>
        <v/>
      </c>
      <c r="E5" s="15">
        <f>IF(B5=0,0,D5/B5)</f>
        <v/>
      </c>
    </row>
    <row r="6">
      <c r="A6" s="7" t="inlineStr">
        <is>
          <t>4.0 Plumbing</t>
        </is>
      </c>
      <c r="B6" s="14" t="n">
        <v>9850</v>
      </c>
      <c r="C6" s="14" t="n">
        <v>6850</v>
      </c>
      <c r="D6" s="14">
        <f>B6-C6</f>
        <v/>
      </c>
      <c r="E6" s="15">
        <f>IF(B6=0,0,D6/B6)</f>
        <v/>
      </c>
    </row>
    <row r="7">
      <c r="A7" s="7" t="inlineStr">
        <is>
          <t>5.0 Electrical</t>
        </is>
      </c>
      <c r="B7" s="14" t="n">
        <v>37470</v>
      </c>
      <c r="C7" s="14" t="n">
        <v>25000</v>
      </c>
      <c r="D7" s="14">
        <f>B7-C7</f>
        <v/>
      </c>
      <c r="E7" s="15">
        <f>IF(B7=0,0,D7/B7)</f>
        <v/>
      </c>
    </row>
    <row r="8">
      <c r="A8" s="7" t="inlineStr">
        <is>
          <t>6.0 Light Fittings &amp; Fans</t>
        </is>
      </c>
      <c r="B8" s="14" t="n">
        <v>2100</v>
      </c>
      <c r="C8" s="14" t="n">
        <v>1500</v>
      </c>
      <c r="D8" s="14">
        <f>B8-C8</f>
        <v/>
      </c>
      <c r="E8" s="15">
        <f>IF(B8=0,0,D8/B8)</f>
        <v/>
      </c>
    </row>
    <row r="9">
      <c r="A9" s="7" t="inlineStr">
        <is>
          <t>7.0 Doors &amp; Windows</t>
        </is>
      </c>
      <c r="B9" s="14" t="n">
        <v>17400</v>
      </c>
      <c r="C9" s="14" t="n">
        <v>12700</v>
      </c>
      <c r="D9" s="14">
        <f>B9-C9</f>
        <v/>
      </c>
      <c r="E9" s="15">
        <f>IF(B9=0,0,D9/B9)</f>
        <v/>
      </c>
    </row>
    <row r="10">
      <c r="A10" s="7" t="inlineStr">
        <is>
          <t>8.0 Joinery</t>
        </is>
      </c>
      <c r="B10" s="14" t="n">
        <v>339250</v>
      </c>
      <c r="C10" s="14" t="n">
        <v>215000</v>
      </c>
      <c r="D10" s="14">
        <f>B10-C10</f>
        <v/>
      </c>
      <c r="E10" s="15">
        <f>IF(B10=0,0,D10/B10)</f>
        <v/>
      </c>
    </row>
    <row r="11">
      <c r="A11" s="7" t="inlineStr">
        <is>
          <t>9.0 Table Top</t>
        </is>
      </c>
      <c r="B11" s="14" t="n">
        <v>23120</v>
      </c>
      <c r="C11" s="14" t="n">
        <v>16400</v>
      </c>
      <c r="D11" s="14">
        <f>B11-C11</f>
        <v/>
      </c>
      <c r="E11" s="15">
        <f>IF(B11=0,0,D11/B11)</f>
        <v/>
      </c>
    </row>
    <row r="12">
      <c r="A12" s="7" t="inlineStr">
        <is>
          <t>10.0 Flooring (Porter, incl. staircase)</t>
        </is>
      </c>
      <c r="B12" s="14" t="n">
        <v>82233</v>
      </c>
      <c r="C12" s="14" t="n">
        <v>76259</v>
      </c>
      <c r="D12" s="14">
        <f>B12-C12</f>
        <v/>
      </c>
      <c r="E12" s="15">
        <f>IF(B12=0,0,D12/B12)</f>
        <v/>
      </c>
    </row>
    <row r="13">
      <c r="A13" s="7" t="inlineStr">
        <is>
          <t>11.0 Curtains &amp; Blinds</t>
        </is>
      </c>
      <c r="B13" s="14" t="n">
        <v>0</v>
      </c>
      <c r="C13" s="14" t="n">
        <v>0</v>
      </c>
      <c r="D13" s="14">
        <f>B13-C13</f>
        <v/>
      </c>
      <c r="E13" s="15">
        <f>IF(B13=0,0,D13/B13)</f>
        <v/>
      </c>
    </row>
    <row r="14">
      <c r="A14" s="7" t="inlineStr">
        <is>
          <t>12.0 Smart Home (15%)</t>
        </is>
      </c>
      <c r="B14" s="14" t="n">
        <v>163977.12</v>
      </c>
      <c r="C14" s="14" t="n">
        <v>142588.8</v>
      </c>
      <c r="D14" s="14">
        <f>B14-C14</f>
        <v/>
      </c>
      <c r="E14" s="15">
        <f>IF(B14=0,0,D14/B14)</f>
        <v/>
      </c>
    </row>
    <row r="15">
      <c r="A15" s="7" t="inlineStr">
        <is>
          <t>13.0 Air-Cond (PS)</t>
        </is>
      </c>
      <c r="B15" s="14" t="n">
        <v>30000</v>
      </c>
      <c r="C15" s="14" t="n">
        <v>25500</v>
      </c>
      <c r="D15" s="14">
        <f>B15-C15</f>
        <v/>
      </c>
      <c r="E15" s="15">
        <f>IF(B15=0,0,D15/B15)</f>
        <v/>
      </c>
    </row>
    <row r="16">
      <c r="A16" s="7" t="inlineStr">
        <is>
          <t>14.0 Landscape (PS)</t>
        </is>
      </c>
      <c r="B16" s="14" t="n">
        <v>15000</v>
      </c>
      <c r="C16" s="14" t="n">
        <v>12000</v>
      </c>
      <c r="D16" s="14">
        <f>B16-C16</f>
        <v/>
      </c>
      <c r="E16" s="15">
        <f>IF(B16=0,0,D16/B16)</f>
        <v/>
      </c>
    </row>
    <row r="17">
      <c r="A17" s="7" t="inlineStr">
        <is>
          <t>Project Management</t>
        </is>
      </c>
      <c r="B17" s="14" t="n">
        <v>9900</v>
      </c>
      <c r="C17" s="14" t="n">
        <v>5000</v>
      </c>
      <c r="D17" s="14">
        <f>B17-C17</f>
        <v/>
      </c>
      <c r="E17" s="15">
        <f>IF(B17=0,0,D17/B17)</f>
        <v/>
      </c>
    </row>
    <row r="18">
      <c r="A18" s="12" t="inlineStr">
        <is>
          <t>TOTAL</t>
        </is>
      </c>
      <c r="B18" s="16">
        <f>SUM(B2:B17)</f>
        <v/>
      </c>
      <c r="C18" s="16">
        <f>SUM(C2:C17)</f>
        <v/>
      </c>
      <c r="D18" s="16">
        <f>B18-C18</f>
        <v/>
      </c>
      <c r="E18" s="17">
        <f>D18/B18</f>
        <v/>
      </c>
    </row>
    <row r="19">
      <c r="A19" s="12" t="inlineStr">
        <is>
          <t>TOTAL excl. Smart Home</t>
        </is>
      </c>
      <c r="B19" s="16">
        <f>B18-B14</f>
        <v/>
      </c>
      <c r="C19" s="16">
        <f>C18-C14</f>
        <v/>
      </c>
      <c r="D19" s="16">
        <f>B19-C19</f>
        <v/>
      </c>
      <c r="E19" s="17">
        <f>D19/B19</f>
        <v/>
      </c>
    </row>
    <row r="20">
      <c r="A20" s="7" t="n"/>
      <c r="B20" s="7" t="n"/>
      <c r="C20" s="7" t="n"/>
      <c r="D20" s="7" t="n"/>
      <c r="E20" s="7" t="n"/>
    </row>
    <row r="21">
      <c r="A21" s="7" t="inlineStr">
        <is>
          <t>Est. cost from QS Pricing Matrix ranges + supplier quotes (Dong Peng, Porter, M Vida). Excludes Porter's 10% designer commission (~RM6.4k, off-quote). Aircond / landscape costs assume ~15-20% on PS.</t>
        </is>
      </c>
      <c r="B21" s="7" t="n"/>
      <c r="C21" s="7" t="n"/>
      <c r="D21" s="7" t="n"/>
      <c r="E21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6" customWidth="1" min="4" max="4"/>
    <col width="70" customWidth="1" min="5" max="5"/>
    <col width="8" customWidth="1" min="6" max="6"/>
  </cols>
  <sheetData>
    <row r="1">
      <c r="A1" s="6" t="inlineStr">
        <is>
          <t>Section</t>
        </is>
      </c>
      <c r="B1" s="6" t="inlineStr">
        <is>
          <t>Item</t>
        </is>
      </c>
      <c r="C1" s="6" t="inlineStr">
        <is>
          <t>Est. margin</t>
        </is>
      </c>
      <c r="D1" s="6" t="inlineStr">
        <is>
          <t>Target</t>
        </is>
      </c>
      <c r="E1" s="6" t="inlineStr">
        <is>
          <t>Comment</t>
        </is>
      </c>
      <c r="F1" s="6" t="inlineStr">
        <is>
          <t>Priority</t>
        </is>
      </c>
    </row>
    <row r="2">
      <c r="A2" s="7" t="inlineStr">
        <is>
          <t>Project Management</t>
        </is>
      </c>
      <c r="B2" s="7" t="inlineStr">
        <is>
          <t>PM fee RM1.80/sqft = RM9,900</t>
        </is>
      </c>
      <c r="C2" s="7" t="inlineStr">
        <is>
          <t>~0.9% of RM1.04M</t>
        </is>
      </c>
      <c r="D2" s="7" t="inlineStr">
        <is>
          <t>Min 3% (~RM31k)</t>
        </is>
      </c>
      <c r="E2" s="7" t="inlineStr">
        <is>
          <t>Now also coordinating aircond, landscape &amp; smart home vendors.</t>
        </is>
      </c>
      <c r="F2" s="9" t="inlineStr">
        <is>
          <t>A</t>
        </is>
      </c>
    </row>
    <row r="3">
      <c r="A3" s="7" t="inlineStr">
        <is>
          <t>Flooring</t>
        </is>
      </c>
      <c r="B3" s="7" t="inlineStr">
        <is>
          <t>Porter S&amp;I RM39/sqft</t>
        </is>
      </c>
      <c r="C3" s="7" t="inlineStr">
        <is>
          <t>~6% + 10% commission</t>
        </is>
      </c>
      <c r="D3" s="7" t="inlineStr">
        <is>
          <t>25%</t>
        </is>
      </c>
      <c r="E3" s="7" t="inlineStr">
        <is>
          <t>Thin but low-risk. Negotiate install RM4.5.</t>
        </is>
      </c>
      <c r="F3" s="10" t="inlineStr">
        <is>
          <t>B</t>
        </is>
      </c>
    </row>
    <row r="4">
      <c r="A4" s="7" t="inlineStr">
        <is>
          <t>Flooring</t>
        </is>
      </c>
      <c r="B4" s="7" t="inlineStr">
        <is>
          <t>Staircase steps RM18,000</t>
        </is>
      </c>
      <c r="C4" s="7" t="inlineStr">
        <is>
          <t>~11% + commission</t>
        </is>
      </c>
      <c r="D4" s="7" t="inlineStr">
        <is>
          <t>25%</t>
        </is>
      </c>
      <c r="E4" s="7" t="inlineStr">
        <is>
          <t>Risers &amp; nosing still excluded.</t>
        </is>
      </c>
      <c r="F4" s="10" t="inlineStr">
        <is>
          <t>B</t>
        </is>
      </c>
    </row>
    <row r="5">
      <c r="A5" s="7" t="inlineStr">
        <is>
          <t>Ceiling</t>
        </is>
      </c>
      <c r="B5" s="7" t="inlineStr">
        <is>
          <t>9mm plaster RM6/sqft, L-box RM28/ft</t>
        </is>
      </c>
      <c r="C5" s="7" t="inlineStr">
        <is>
          <t>17-40%</t>
        </is>
      </c>
      <c r="D5" s="7" t="inlineStr">
        <is>
          <t>45%</t>
        </is>
      </c>
      <c r="E5" s="7" t="inlineStr">
        <is>
          <t>Matrix sell RM10 / RM50.</t>
        </is>
      </c>
      <c r="F5" s="10" t="inlineStr">
        <is>
          <t>B</t>
        </is>
      </c>
    </row>
    <row r="6">
      <c r="A6" s="7" t="inlineStr">
        <is>
          <t>Wet Works</t>
        </is>
      </c>
      <c r="B6" s="7" t="inlineStr">
        <is>
          <t>Decimal rates (37.14, 53,064.29, 45.00 ...)</t>
        </is>
      </c>
      <c r="C6" s="7" t="inlineStr">
        <is>
          <t>30%</t>
        </is>
      </c>
      <c r="D6" s="7" t="inlineStr">
        <is>
          <t>-</t>
        </is>
      </c>
      <c r="E6" s="7" t="inlineStr">
        <is>
          <t>Decimals reveal cost ÷ 0.7. Round before sending.</t>
        </is>
      </c>
      <c r="F6" s="10" t="inlineStr">
        <is>
          <t>B</t>
        </is>
      </c>
    </row>
    <row r="7">
      <c r="A7" s="7" t="inlineStr">
        <is>
          <t>Air-Cond</t>
        </is>
      </c>
      <c r="B7" s="7" t="inlineStr">
        <is>
          <t>PS 6 units @ RM5,000</t>
        </is>
      </c>
      <c r="C7" s="7" t="inlineStr">
        <is>
          <t>~15% assumed</t>
        </is>
      </c>
      <c r="D7" s="7" t="inlineStr">
        <is>
          <t>15-20%</t>
        </is>
      </c>
      <c r="E7" s="7" t="inlineStr">
        <is>
          <t>Replace with real supplier quote + layout (units, HP, wall vs cassette/ducted).</t>
        </is>
      </c>
      <c r="F7" s="9" t="inlineStr">
        <is>
          <t>A</t>
        </is>
      </c>
    </row>
    <row r="8">
      <c r="A8" s="7" t="inlineStr">
        <is>
          <t>Landscape</t>
        </is>
      </c>
      <c r="B8" s="7" t="inlineStr">
        <is>
          <t>PS RM15,000</t>
        </is>
      </c>
      <c r="C8" s="7" t="inlineStr">
        <is>
          <t>~20% assumed</t>
        </is>
      </c>
      <c r="D8" s="7" t="inlineStr">
        <is>
          <t>20-25%</t>
        </is>
      </c>
      <c r="E8" s="7" t="inlineStr">
        <is>
          <t>Replace with landscape subcon quote once scope agreed.</t>
        </is>
      </c>
      <c r="F8" s="9" t="inlineStr">
        <is>
          <t>A</t>
        </is>
      </c>
    </row>
    <row r="9">
      <c r="A9" s="7" t="inlineStr">
        <is>
          <t>Wet Works</t>
        </is>
      </c>
      <c r="B9" s="7" t="inlineStr">
        <is>
          <t>Self-levelling RM8/sqft</t>
        </is>
      </c>
      <c r="C9" s="7" t="inlineStr">
        <is>
          <t>~35%</t>
        </is>
      </c>
      <c r="D9" s="7" t="inlineStr">
        <is>
          <t>30%</t>
        </is>
      </c>
      <c r="E9" s="7" t="inlineStr">
        <is>
          <t>Porter quoted self-levelling RM3-4 + screed. OK.</t>
        </is>
      </c>
      <c r="F9" s="11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45" customWidth="1" min="3" max="3"/>
    <col width="55" customWidth="1" min="4" max="4"/>
  </cols>
  <sheetData>
    <row r="1">
      <c r="A1" s="6" t="inlineStr">
        <is>
          <t>Status</t>
        </is>
      </c>
      <c r="B1" s="6" t="inlineStr">
        <is>
          <t>Question</t>
        </is>
      </c>
      <c r="C1" s="6" t="inlineStr">
        <is>
          <t>Answer</t>
        </is>
      </c>
      <c r="D1" s="6" t="inlineStr">
        <is>
          <t>Action in sheet</t>
        </is>
      </c>
    </row>
    <row r="2">
      <c r="A2" s="11" t="inlineStr">
        <is>
          <t>Answered</t>
        </is>
      </c>
      <c r="B2" s="7" t="inlineStr">
        <is>
          <t>Son's &amp; Daughter's bathrooms</t>
        </is>
      </c>
      <c r="C2" s="7" t="inlineStr">
        <is>
          <t>Keep tiles; only mirror cabinet + sink cabinet + ceiling redo</t>
        </is>
      </c>
      <c r="D2" s="7" t="inlineStr">
        <is>
          <t>Applied (tiling deleted, ceiling/joinery/table top added)</t>
        </is>
      </c>
    </row>
    <row r="3">
      <c r="A3" s="11" t="inlineStr">
        <is>
          <t>Answered</t>
        </is>
      </c>
      <c r="B3" s="7" t="inlineStr">
        <is>
          <t>Maid Bath</t>
        </is>
      </c>
      <c r="C3" s="7" t="inlineStr">
        <is>
          <t>No works</t>
        </is>
      </c>
      <c r="D3" s="7" t="inlineStr">
        <is>
          <t>Nothing in quote – OK</t>
        </is>
      </c>
    </row>
    <row r="4">
      <c r="A4" s="11" t="inlineStr">
        <is>
          <t>Answered</t>
        </is>
      </c>
      <c r="B4" s="7" t="inlineStr">
        <is>
          <t>Terraces after decking removal</t>
        </is>
      </c>
      <c r="C4" s="7" t="inlineStr">
        <is>
          <t>Tiles floor</t>
        </is>
      </c>
      <c r="D4" s="7" t="inlineStr">
        <is>
          <t>Applied – 315 sqft labour; material in tile PC (Missing #3)</t>
        </is>
      </c>
    </row>
    <row r="5">
      <c r="A5" s="11" t="inlineStr">
        <is>
          <t>Answered</t>
        </is>
      </c>
      <c r="B5" s="7" t="inlineStr">
        <is>
          <t>Existing glass balustrade</t>
        </is>
      </c>
      <c r="C5" s="7" t="inlineStr">
        <is>
          <t>Keep</t>
        </is>
      </c>
      <c r="D5" s="7" t="inlineStr">
        <is>
          <t>Balustrade removed from missing list; protection added to Missing #2</t>
        </is>
      </c>
    </row>
    <row r="6">
      <c r="A6" s="11" t="inlineStr">
        <is>
          <t>Answered</t>
        </is>
      </c>
      <c r="B6" s="7" t="inlineStr">
        <is>
          <t>Wet Kitchen / Master Bedroom option</t>
        </is>
      </c>
      <c r="C6" s="7" t="inlineStr">
        <is>
          <t>Wet Kitchen Opt 2, Master Bedroom Opt 2</t>
        </is>
      </c>
      <c r="D6" s="7" t="inlineStr">
        <is>
          <t>Applied – see OPEN #3 on Wet Kitchen Opt 2 reading</t>
        </is>
      </c>
    </row>
    <row r="7">
      <c r="A7" s="11" t="inlineStr">
        <is>
          <t>Answered</t>
        </is>
      </c>
      <c r="B7" s="7" t="inlineStr">
        <is>
          <t>Sinks/taps, hood/hob/oven, water heaters, fireplace</t>
        </is>
      </c>
      <c r="C7" s="7" t="inlineStr">
        <is>
          <t>Owner</t>
        </is>
      </c>
      <c r="D7" s="7" t="inlineStr">
        <is>
          <t>Applied – exclusions + install labour only</t>
        </is>
      </c>
    </row>
    <row r="8">
      <c r="A8" s="11" t="inlineStr">
        <is>
          <t>Answered</t>
        </is>
      </c>
      <c r="B8" s="7" t="inlineStr">
        <is>
          <t>Smart home</t>
        </is>
      </c>
      <c r="C8" s="7" t="inlineStr">
        <is>
          <t>Groo quotes it in</t>
        </is>
      </c>
      <c r="D8" s="7" t="inlineStr">
        <is>
          <t>Applied – 15% markup (+RM21,388.32)</t>
        </is>
      </c>
    </row>
    <row r="9">
      <c r="A9" s="11" t="inlineStr">
        <is>
          <t>Answered</t>
        </is>
      </c>
      <c r="B9" s="7" t="inlineStr">
        <is>
          <t>Unit size</t>
        </is>
      </c>
      <c r="C9" s="7" t="inlineStr">
        <is>
          <t>5,500 sqft</t>
        </is>
      </c>
      <c r="D9" s="7" t="inlineStr">
        <is>
          <t>Kept</t>
        </is>
      </c>
    </row>
    <row r="10">
      <c r="A10" s="11" t="inlineStr">
        <is>
          <t>Answered</t>
        </is>
      </c>
      <c r="B10" s="7" t="inlineStr">
        <is>
          <t>Company address</t>
        </is>
      </c>
      <c r="C10" s="7" t="inlineStr">
        <is>
          <t>Changed</t>
        </is>
      </c>
      <c r="D10" s="7" t="inlineStr">
        <is>
          <t>Applied – J8</t>
        </is>
      </c>
    </row>
    <row r="11">
      <c r="A11" s="11" t="inlineStr">
        <is>
          <t>Answered</t>
        </is>
      </c>
      <c r="B11" s="7" t="inlineStr">
        <is>
          <t>Quote date</t>
        </is>
      </c>
      <c r="C11" s="7" t="inlineStr">
        <is>
          <t>8 Oct</t>
        </is>
      </c>
      <c r="D11" s="7" t="inlineStr">
        <is>
          <t>Applied – '08 Oct 2026'</t>
        </is>
      </c>
    </row>
    <row r="12">
      <c r="A12" s="11" t="inlineStr">
        <is>
          <t>Answered</t>
        </is>
      </c>
      <c r="B12" s="7" t="inlineStr">
        <is>
          <t>Design fee</t>
        </is>
      </c>
      <c r="C12" s="7" t="inlineStr">
        <is>
          <t>Billed separately, done</t>
        </is>
      </c>
      <c r="D12" s="7" t="inlineStr">
        <is>
          <t>No change</t>
        </is>
      </c>
    </row>
    <row r="13">
      <c r="A13" s="11" t="inlineStr">
        <is>
          <t>Answered</t>
        </is>
      </c>
      <c r="B13" s="7" t="inlineStr">
        <is>
          <t>Smart-home deposit</t>
        </is>
      </c>
      <c r="C13" s="7" t="inlineStr">
        <is>
          <t>Most likely follow</t>
        </is>
      </c>
      <c r="D13" s="7" t="inlineStr">
        <is>
          <t>Applied – 50/40/10 line under payment terms</t>
        </is>
      </c>
    </row>
    <row r="14">
      <c r="A14" s="11" t="inlineStr">
        <is>
          <t>Answered</t>
        </is>
      </c>
      <c r="B14" s="7" t="inlineStr">
        <is>
          <t>Exclusions</t>
        </is>
      </c>
      <c r="C14" s="7" t="inlineStr">
        <is>
          <t>Aircond &amp; landscape quoted in; others by owner; no gate; JMB deposit by owner</t>
        </is>
      </c>
      <c r="D14" s="7" t="inlineStr">
        <is>
          <t>Applied – sections 13 &amp; 14 (PS) + Exclusions block</t>
        </is>
      </c>
    </row>
    <row r="15">
      <c r="A15" s="10" t="inlineStr">
        <is>
          <t>OPEN</t>
        </is>
      </c>
      <c r="B15" s="7" t="inlineStr">
        <is>
          <t>1. 'First Floor Bathroom' (RM13,419) – FF only has Master, Son's, Daughter's. Is it the Parents Bath (GF)?</t>
        </is>
      </c>
      <c r="C15" s="7" t="inlineStr"/>
      <c r="D15" s="7" t="inlineStr">
        <is>
          <t>If yes rename + add Parents Bath joinery/top/screen (Missing #18-19, #24-25)</t>
        </is>
      </c>
    </row>
    <row r="16">
      <c r="A16" s="10" t="inlineStr">
        <is>
          <t>OPEN</t>
        </is>
      </c>
      <c r="B16" s="7" t="inlineStr">
        <is>
          <t>2. Existing wood floor -&gt; dismantle + self-levelling (applied, 20-yr warranty). Reply to Porter &amp; confirm demolition subcon covers removal.</t>
        </is>
      </c>
      <c r="C16" s="7" t="inlineStr"/>
      <c r="D16" s="7" t="inlineStr">
        <is>
          <t>Revert: row 114 RM8 -&gt; RM5 (-RM4,941)</t>
        </is>
      </c>
    </row>
    <row r="17">
      <c r="A17" s="10" t="inlineStr">
        <is>
          <t>OPEN</t>
        </is>
      </c>
      <c r="B17" s="7" t="inlineStr">
        <is>
          <t>3. Wet Kitchen Opt 2 read from 3D p.33 as: larger black-frame window at sink wall, rest same as Opt 1 (curved island, reeded sliding doors kept).</t>
        </is>
      </c>
      <c r="C17" s="7" t="inlineStr"/>
      <c r="D17" s="7" t="inlineStr">
        <is>
          <t>If Opt 2 also drops island / sliding doors -&gt; deduct rows 180, 212, Table Top 268</t>
        </is>
      </c>
    </row>
    <row r="18">
      <c r="A18" s="10" t="inlineStr">
        <is>
          <t>OPEN</t>
        </is>
      </c>
      <c r="B18" s="7" t="inlineStr">
        <is>
          <t>4. Curtains section RM0 + protection removed after R2 – intentional?</t>
        </is>
      </c>
      <c r="C18" s="7" t="inlineStr"/>
      <c r="D18" s="7" t="inlineStr">
        <is>
          <t>Missing #1-2 (RM18,780)</t>
        </is>
      </c>
    </row>
    <row r="19">
      <c r="A19" s="10" t="inlineStr">
        <is>
          <t>OPEN</t>
        </is>
      </c>
      <c r="B19" s="7" t="inlineStr">
        <is>
          <t>5. Aircond: no. of units, wall-mounted vs cassette/ducted, brand.</t>
        </is>
      </c>
      <c r="C19" s="7" t="inlineStr"/>
      <c r="D19" s="7" t="inlineStr">
        <is>
          <t>Replace PS</t>
        </is>
      </c>
    </row>
    <row r="20">
      <c r="A20" s="10" t="inlineStr">
        <is>
          <t>OPEN</t>
        </is>
      </c>
      <c r="B20" s="7" t="inlineStr">
        <is>
          <t>6. Landscape scope / designer.</t>
        </is>
      </c>
      <c r="C20" s="7" t="inlineStr"/>
      <c r="D20" s="7" t="inlineStr">
        <is>
          <t>Replace PS</t>
        </is>
      </c>
    </row>
    <row r="21">
      <c r="A21" s="10" t="inlineStr">
        <is>
          <t>OPEN</t>
        </is>
      </c>
      <c r="B21" s="7" t="inlineStr">
        <is>
          <t>7. Foyer finish: Ling Hua Bai (Dong Peng count) vs Bellezza (DWG legend).</t>
        </is>
      </c>
      <c r="C21" s="7" t="inlineStr"/>
      <c r="D21" s="7" t="inlineStr"/>
    </row>
    <row r="22">
      <c r="A22" s="10" t="inlineStr">
        <is>
          <t>OPEN</t>
        </is>
      </c>
      <c r="B22" s="7" t="inlineStr">
        <is>
          <t>8. Porter: area breakdown of 1,647 sqft (drawing ~1,880) + staircase risers/nosing price.</t>
        </is>
      </c>
      <c r="C22" s="7" t="inlineStr"/>
      <c r="D22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46" customWidth="1" min="3" max="3"/>
    <col width="13" customWidth="1" min="4" max="4"/>
    <col width="24" customWidth="1" min="5" max="5"/>
    <col width="55" customWidth="1" min="6" max="6"/>
  </cols>
  <sheetData>
    <row r="1">
      <c r="A1" s="6" t="inlineStr">
        <is>
          <t>Supplier</t>
        </is>
      </c>
      <c r="B1" s="6" t="inlineStr">
        <is>
          <t>Date</t>
        </is>
      </c>
      <c r="C1" s="6" t="inlineStr">
        <is>
          <t>Item</t>
        </is>
      </c>
      <c r="D1" s="6" t="inlineStr">
        <is>
          <t>Cost (RM)</t>
        </is>
      </c>
      <c r="E1" s="6" t="inlineStr">
        <is>
          <t>Quoted to client</t>
        </is>
      </c>
      <c r="F1" s="6" t="inlineStr">
        <is>
          <t>Notes</t>
        </is>
      </c>
    </row>
    <row r="2">
      <c r="A2" s="7" t="inlineStr">
        <is>
          <t>Dong Peng (DP Ceramic)</t>
        </is>
      </c>
      <c r="B2" s="7" t="inlineStr">
        <is>
          <t>09/10/2026</t>
        </is>
      </c>
      <c r="C2" s="7" t="inlineStr">
        <is>
          <t>Ling Hua Bai 900x1800x9 honed, 91 pcs @ RM250</t>
        </is>
      </c>
      <c r="D2" s="8" t="n">
        <v>22750</v>
      </c>
      <c r="E2" s="7" t="inlineStr">
        <is>
          <t>30,030 (91 @ RM330)</t>
        </is>
      </c>
      <c r="F2" s="7" t="inlineStr">
        <is>
          <t>Logistics TBC, unloading excl., 50% deposit, 12-wk production</t>
        </is>
      </c>
    </row>
    <row r="3">
      <c r="A3" s="7" t="inlineStr">
        <is>
          <t>Porter Rosewood</t>
        </is>
      </c>
      <c r="B3" s="7" t="inlineStr">
        <is>
          <t>09/10/2026</t>
        </is>
      </c>
      <c r="C3" s="7" t="inlineStr">
        <is>
          <t>Art Deco E30 straight plank 1,647 sqft</t>
        </is>
      </c>
      <c r="D3" s="8" t="n">
        <v>51200</v>
      </c>
      <c r="E3" s="7" t="inlineStr">
        <is>
          <t>64,233 incl. install</t>
        </is>
      </c>
      <c r="F3" s="7" t="inlineStr">
        <is>
          <t>Incl. 10% designer commission; area breakdown TBC</t>
        </is>
      </c>
    </row>
    <row r="4">
      <c r="A4" s="7" t="inlineStr">
        <is>
          <t>Porter Rosewood (installer est.)</t>
        </is>
      </c>
      <c r="B4" s="7" t="inlineStr">
        <is>
          <t>10/10/2026</t>
        </is>
      </c>
      <c r="C4" s="7" t="inlineStr">
        <is>
          <t>Glue-down install 1,647 sqft @ RM5.5</t>
        </is>
      </c>
      <c r="D4" s="8" t="n">
        <v>9059</v>
      </c>
      <c r="E4" s="7" t="inlineStr">
        <is>
          <t>(in RM39/sqft)</t>
        </is>
      </c>
      <c r="F4" s="7" t="inlineStr">
        <is>
          <t>20-yr warranty only on self-levelled cement / tile</t>
        </is>
      </c>
    </row>
    <row r="5">
      <c r="A5" s="7" t="inlineStr">
        <is>
          <t>Porter Rosewood</t>
        </is>
      </c>
      <c r="B5" s="7" t="inlineStr">
        <is>
          <t>09/10/2026</t>
        </is>
      </c>
      <c r="C5" s="7" t="inlineStr">
        <is>
          <t>Staircase steps 1.2mm + install RM3k</t>
        </is>
      </c>
      <c r="D5" s="8" t="n">
        <v>16000</v>
      </c>
      <c r="E5" s="7" t="inlineStr">
        <is>
          <t>18,000</t>
        </is>
      </c>
      <c r="F5" s="7" t="inlineStr">
        <is>
          <t>Steps only</t>
        </is>
      </c>
    </row>
    <row r="6">
      <c r="A6" s="7" t="inlineStr">
        <is>
          <t>M Vida (AETHO)</t>
        </is>
      </c>
      <c r="B6" s="7" t="inlineStr">
        <is>
          <t>13/09/2026</t>
        </is>
      </c>
      <c r="C6" s="7" t="inlineStr">
        <is>
          <t>Smart home package</t>
        </is>
      </c>
      <c r="D6" s="8" t="n">
        <v>142588.8</v>
      </c>
      <c r="E6" s="7" t="inlineStr">
        <is>
          <t>163,977.12 (15%)</t>
        </is>
      </c>
      <c r="F6" s="7" t="inlineStr">
        <is>
          <t>3-month lead time; 50/40/10 to client</t>
        </is>
      </c>
    </row>
    <row r="7">
      <c r="A7" s="7" t="inlineStr">
        <is>
          <t>Aircond – TBC</t>
        </is>
      </c>
      <c r="B7" s="7" t="inlineStr">
        <is>
          <t>-</t>
        </is>
      </c>
      <c r="C7" s="7" t="inlineStr">
        <is>
          <t>6 units PS</t>
        </is>
      </c>
      <c r="D7" s="7" t="n"/>
      <c r="E7" s="7" t="inlineStr">
        <is>
          <t>30,000 PS</t>
        </is>
      </c>
      <c r="F7" s="7" t="inlineStr">
        <is>
          <t>Get quote</t>
        </is>
      </c>
    </row>
    <row r="8">
      <c r="A8" s="7" t="inlineStr">
        <is>
          <t>Landscape – TBC</t>
        </is>
      </c>
      <c r="B8" s="7" t="inlineStr">
        <is>
          <t>-</t>
        </is>
      </c>
      <c r="C8" s="7" t="inlineStr">
        <is>
          <t>PS</t>
        </is>
      </c>
      <c r="D8" s="7" t="n"/>
      <c r="E8" s="7" t="inlineStr">
        <is>
          <t>15,000 PS</t>
        </is>
      </c>
      <c r="F8" s="7" t="inlineStr">
        <is>
          <t>Get quote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2026-10-11T04:44:51Z</dcterms:created>
  <dcterms:modified xmlns:dcterms="http://purl.org/dc/terms/" xmlns:xsi="http://www.w3.org/2001/XMLSchema-instance" xsi:type="dcterms:W3CDTF">2026-10-11T04:44:51Z</dcterms:modified>
</cp:coreProperties>
</file>
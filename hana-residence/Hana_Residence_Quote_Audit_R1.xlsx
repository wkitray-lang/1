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Summary" sheetId="1" state="visible" r:id="rId1"/>
    <sheet xmlns:r="http://schemas.openxmlformats.org/officeDocument/2006/relationships" name="1 Missing Items" sheetId="2" state="visible" r:id="rId2"/>
    <sheet xmlns:r="http://schemas.openxmlformats.org/officeDocument/2006/relationships" name="2 Qty Check" sheetId="3" state="visible" r:id="rId3"/>
    <sheet xmlns:r="http://schemas.openxmlformats.org/officeDocument/2006/relationships" name="3 Rate &amp; Margin" sheetId="4" state="visible" r:id="rId4"/>
    <sheet xmlns:r="http://schemas.openxmlformats.org/officeDocument/2006/relationships" name="4 Margin Estimate" sheetId="5" state="visible" r:id="rId5"/>
    <sheet xmlns:r="http://schemas.openxmlformats.org/officeDocument/2006/relationships" name="5 Drawing Issues" sheetId="6" state="visible" r:id="rId6"/>
    <sheet xmlns:r="http://schemas.openxmlformats.org/officeDocument/2006/relationships" name="6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B3A36"/>
      </patternFill>
    </fill>
    <fill>
      <patternFill patternType="solid">
        <fgColor rgb="00F8D7D3"/>
      </patternFill>
    </fill>
    <fill>
      <patternFill patternType="solid">
        <fgColor rgb="00FCEBC7"/>
      </patternFill>
    </fill>
    <fill>
      <patternFill patternType="solid">
        <fgColor rgb="00DDEF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HANA RESIDENCE – QUOTATION AUDIT R1 (vs 3D Proposal R1 + DWG 01-02/10/2026)</t>
        </is>
      </c>
    </row>
    <row r="2">
      <c r="A2" t="inlineStr">
        <is>
          <t>Current draft quotation 261015 (Grand Total)</t>
        </is>
      </c>
      <c r="B2" s="2" t="n">
        <v>980113.34</v>
      </c>
    </row>
    <row r="3">
      <c r="A3" t="inlineStr">
        <is>
          <t>Est. gross margin of current draft (see sheet 4)</t>
        </is>
      </c>
      <c r="B3" t="inlineStr">
        <is>
          <t>≈27.5%  (≈32% excl. smart home)</t>
        </is>
      </c>
    </row>
    <row r="4">
      <c r="A4" t="inlineStr"/>
    </row>
    <row r="5">
      <c r="A5" t="inlineStr">
        <is>
          <t>A. Missing items – Priority A (clearly in 3D/drawings)</t>
        </is>
      </c>
      <c r="B5" s="2" t="n">
        <v>139124.28</v>
      </c>
    </row>
    <row r="6">
      <c r="A6" t="inlineStr">
        <is>
          <t>B. Missing items – Priority B (very likely, confirm)</t>
        </is>
      </c>
      <c r="B6" s="2" t="n">
        <v>74320</v>
      </c>
    </row>
    <row r="7">
      <c r="A7" t="inlineStr">
        <is>
          <t>C. Missing items – Priority C (optional/provisional)</t>
        </is>
      </c>
      <c r="B7" s="2" t="n">
        <v>6800</v>
      </c>
    </row>
    <row r="8">
      <c r="A8" t="inlineStr">
        <is>
          <t>D. Smart home 15% markup (recommended)</t>
        </is>
      </c>
      <c r="B8" s="2" t="n">
        <v>21388.32</v>
      </c>
    </row>
    <row r="9">
      <c r="A9" t="inlineStr">
        <is>
          <t>E. Ling Hua Bai over-measure you may need to remove (labour + material)</t>
        </is>
      </c>
      <c r="B9" s="2" t="n">
        <v>-46939.4</v>
      </c>
    </row>
    <row r="10">
      <c r="A10" t="inlineStr">
        <is>
          <t>F. 'First Floor Bathroom' if it's a phantom (not Parents Bath)</t>
        </is>
      </c>
      <c r="B10" s="2" t="n">
        <v>-13419.16</v>
      </c>
    </row>
    <row r="11">
      <c r="A11" t="inlineStr"/>
    </row>
    <row r="12">
      <c r="A12" s="3" t="inlineStr">
        <is>
          <t>Revised total – A + D + E (minimum fix)</t>
        </is>
      </c>
      <c r="B12" s="4" t="n">
        <v>1093686.54</v>
      </c>
    </row>
    <row r="13">
      <c r="A13" s="3" t="inlineStr">
        <is>
          <t>Revised total – A + B + D + E</t>
        </is>
      </c>
      <c r="B13" s="4" t="n">
        <v>1168006.54</v>
      </c>
    </row>
    <row r="14">
      <c r="A14" t="inlineStr"/>
    </row>
    <row r="15" ht="90" customHeight="1">
      <c r="A15" s="5" t="inlineStr">
        <is>
          <t>How to read: the draft adds up correctly, but (1) ~RM43k of tile material is unpriced, (2) Parents Bath / staircase / divider / bathroom joinery are missing, (3) wood &amp; ceiling are under-measured, (4) Ling Hua Bai is over-measured by ~800 sqft, (5) smart home carries 0% margin. Rates are my suggested SELL prices at ~35% GP – replace with real subcon quotes.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60" customWidth="1" min="3" max="3"/>
    <col width="8" customWidth="1" min="4" max="4"/>
    <col width="7" customWidth="1" min="5" max="5"/>
    <col width="12" customWidth="1" min="6" max="6"/>
    <col width="13" customWidth="1" min="7" max="7"/>
    <col width="60" customWidth="1" min="8" max="8"/>
    <col width="8" customWidth="1" min="9" max="9"/>
  </cols>
  <sheetData>
    <row r="1">
      <c r="A1" s="6" t="inlineStr">
        <is>
          <t>#</t>
        </is>
      </c>
      <c r="B1" s="6" t="inlineStr">
        <is>
          <t>Section</t>
        </is>
      </c>
      <c r="C1" s="6" t="inlineStr">
        <is>
          <t>Item to add</t>
        </is>
      </c>
      <c r="D1" s="6" t="inlineStr">
        <is>
          <t>Qty</t>
        </is>
      </c>
      <c r="E1" s="6" t="inlineStr">
        <is>
          <t>Unit</t>
        </is>
      </c>
      <c r="F1" s="6" t="inlineStr">
        <is>
          <t>Suggested sell rate (RM)</t>
        </is>
      </c>
      <c r="G1" s="6" t="inlineStr">
        <is>
          <t>Amount (RM)</t>
        </is>
      </c>
      <c r="H1" s="6" t="inlineStr">
        <is>
          <t>Why / where seen</t>
        </is>
      </c>
      <c r="I1" s="6" t="inlineStr">
        <is>
          <t>Priority</t>
        </is>
      </c>
    </row>
    <row r="2">
      <c r="A2" s="7" t="n">
        <v>1</v>
      </c>
      <c r="B2" s="7" t="inlineStr">
        <is>
          <t>Wet Works</t>
        </is>
      </c>
      <c r="C2" s="7" t="inlineStr">
        <is>
          <t>PC Sum – tile MATERIAL for bathrooms x4 + powder, foyer, laundry floor/wall, wet kitchen wall (approx. 3,600 sqft incl. 10% wastage @ PC RM12/sqft, adjust upon final selection)</t>
        </is>
      </c>
      <c r="D2" s="7" t="n">
        <v>3600</v>
      </c>
      <c r="E2" s="7" t="inlineStr">
        <is>
          <t>sqft</t>
        </is>
      </c>
      <c r="F2" s="8" t="n">
        <v>12</v>
      </c>
      <c r="G2" s="8" t="n">
        <v>43200</v>
      </c>
      <c r="H2" s="7" t="inlineStr">
        <is>
          <t>Quote says 'TBC upon final selection' = currently RM0. Only Ling Hua Bai 900x1800 material is priced. Without a PC sum the client reads it as included.</t>
        </is>
      </c>
      <c r="I2" s="9" t="inlineStr">
        <is>
          <t>A</t>
        </is>
      </c>
    </row>
    <row r="3">
      <c r="A3" s="7" t="n">
        <v>2</v>
      </c>
      <c r="B3" s="7" t="inlineStr">
        <is>
          <t>Wet Works</t>
        </is>
      </c>
      <c r="C3" s="7" t="inlineStr">
        <is>
          <t>Laundry wall tiles – Dong Peng Limestone JH12352GZ 600x1200 structured (labour, prime coat, C2TE-S1, grout)</t>
        </is>
      </c>
      <c r="D3" s="7" t="n">
        <v>180</v>
      </c>
      <c r="E3" s="7" t="inlineStr">
        <is>
          <t>sqft</t>
        </is>
      </c>
      <c r="F3" s="8" t="n">
        <v>35</v>
      </c>
      <c r="G3" s="8" t="n">
        <v>6300</v>
      </c>
      <c r="H3" s="7" t="inlineStr">
        <is>
          <t>New Layout GF legend: red wall-tile lines along laundry walls (4310 + 2290). 3D laundry shows full-height wall tile. Not in quote.</t>
        </is>
      </c>
      <c r="I3" s="9" t="inlineStr">
        <is>
          <t>A</t>
        </is>
      </c>
    </row>
    <row r="4">
      <c r="A4" s="7" t="n">
        <v>3</v>
      </c>
      <c r="B4" s="7" t="inlineStr">
        <is>
          <t>Wet Works</t>
        </is>
      </c>
      <c r="C4" s="7" t="inlineStr">
        <is>
          <t>Wet kitchen wall tile – quantity top-up (take-off ~330 sqft vs 250 quoted)</t>
        </is>
      </c>
      <c r="D4" s="7" t="n">
        <v>80</v>
      </c>
      <c r="E4" s="7" t="inlineStr">
        <is>
          <t>sqft</t>
        </is>
      </c>
      <c r="F4" s="8" t="n">
        <v>35</v>
      </c>
      <c r="G4" s="8" t="n">
        <v>2800</v>
      </c>
      <c r="H4" s="7" t="inlineStr">
        <is>
          <t>Red wall lines 4670 + 5050 + 2118 mm x ~3.0 m height less openings.</t>
        </is>
      </c>
      <c r="I4" s="10" t="inlineStr">
        <is>
          <t>B</t>
        </is>
      </c>
    </row>
    <row r="5">
      <c r="A5" s="7" t="n">
        <v>4</v>
      </c>
      <c r="B5" s="7" t="inlineStr">
        <is>
          <t>Wet Works</t>
        </is>
      </c>
      <c r="C5" s="7" t="inlineStr">
        <is>
          <t>Parents Bath – hack, Mapei 223 waterproofing + 72h ponding test, floor &amp; wall tiling 750x1500</t>
        </is>
      </c>
      <c r="D5" s="7" t="n">
        <v>280</v>
      </c>
      <c r="E5" s="7" t="inlineStr">
        <is>
          <t>sqft</t>
        </is>
      </c>
      <c r="F5" s="8" t="n">
        <v>35</v>
      </c>
      <c r="G5" s="8" t="n">
        <v>9800</v>
      </c>
      <c r="H5" s="7" t="inlineStr">
        <is>
          <t>3D p.42 Parent's Bath fully redone. Quote has no Parents Bath. CHECK: if the 'First Floor Bathroom' line was meant to be Parents Bath, rename it instead of adding.</t>
        </is>
      </c>
      <c r="I5" s="9" t="inlineStr">
        <is>
          <t>A</t>
        </is>
      </c>
    </row>
    <row r="6">
      <c r="A6" s="7" t="n">
        <v>5</v>
      </c>
      <c r="B6" s="7" t="inlineStr">
        <is>
          <t>Wet Works</t>
        </is>
      </c>
      <c r="C6" s="7" t="inlineStr">
        <is>
          <t>Parents Bath – 6" floor trap</t>
        </is>
      </c>
      <c r="D6" s="7" t="n">
        <v>2</v>
      </c>
      <c r="E6" s="7" t="inlineStr">
        <is>
          <t>nos</t>
        </is>
      </c>
      <c r="F6" s="8" t="n">
        <v>137.14</v>
      </c>
      <c r="G6" s="8" t="n">
        <v>274.28</v>
      </c>
      <c r="H6" s="7" t="inlineStr">
        <is>
          <t>As other bathrooms.</t>
        </is>
      </c>
      <c r="I6" s="9" t="inlineStr">
        <is>
          <t>A</t>
        </is>
      </c>
    </row>
    <row r="7">
      <c r="A7" s="7" t="n">
        <v>6</v>
      </c>
      <c r="B7" s="7" t="inlineStr">
        <is>
          <t>Wet Works</t>
        </is>
      </c>
      <c r="C7" s="7" t="inlineStr">
        <is>
          <t>Staircase – treads &amp; risers finish (timber-look cladding / matching tile) c/w nosing, approx. 20 steps</t>
        </is>
      </c>
      <c r="D7" s="7" t="n">
        <v>20</v>
      </c>
      <c r="E7" s="7" t="inlineStr">
        <is>
          <t>step</t>
        </is>
      </c>
      <c r="F7" s="8" t="n">
        <v>380</v>
      </c>
      <c r="G7" s="8" t="n">
        <v>7600</v>
      </c>
      <c r="H7" s="7" t="inlineStr">
        <is>
          <t>Demolition Plan GF hatches the staircase red (to be hacked). 3D p.37-38 shows new warm timber-look stair. Nothing in quote.</t>
        </is>
      </c>
      <c r="I7" s="9" t="inlineStr">
        <is>
          <t>A</t>
        </is>
      </c>
    </row>
    <row r="8">
      <c r="A8" s="7" t="n">
        <v>7</v>
      </c>
      <c r="B8" s="7" t="inlineStr">
        <is>
          <t>Wet Works</t>
        </is>
      </c>
      <c r="C8" s="7" t="inlineStr">
        <is>
          <t>Terrace 1, 2 &amp; 3 – new floor finish after removal of existing wood decking (approx. 315 sqft)</t>
        </is>
      </c>
      <c r="D8" s="7" t="n">
        <v>315</v>
      </c>
      <c r="E8" s="7" t="inlineStr">
        <is>
          <t>sqft</t>
        </is>
      </c>
      <c r="F8" s="8" t="n">
        <v>28</v>
      </c>
      <c r="G8" s="8" t="n">
        <v>8820</v>
      </c>
      <c r="H8" s="7" t="inlineStr">
        <is>
          <t>Demolition line says 'remove ... wood decking' but no reinstatement. Confirm finish with client (outdoor tile / composite decking).</t>
        </is>
      </c>
      <c r="I8" s="10" t="inlineStr">
        <is>
          <t>B</t>
        </is>
      </c>
    </row>
    <row r="9">
      <c r="A9" s="7" t="n">
        <v>8</v>
      </c>
      <c r="B9" s="7" t="inlineStr">
        <is>
          <t>Ceiling</t>
        </is>
      </c>
      <c r="C9" s="7" t="inlineStr">
        <is>
          <t>Ceiling quantity top-up: FF corridor &amp; stair, powder, utility, maid room, + under-measured rooms (master, WIC, son, daughter)</t>
        </is>
      </c>
      <c r="D9" s="7" t="n">
        <v>1000</v>
      </c>
      <c r="E9" s="7" t="inlineStr">
        <is>
          <t>sqft</t>
        </is>
      </c>
      <c r="F9" s="8" t="n">
        <v>6</v>
      </c>
      <c r="G9" s="8" t="n">
        <v>6000</v>
      </c>
      <c r="H9" s="7" t="inlineStr">
        <is>
          <t>Quote ceiling total 2,799 sqft. Rough take-off: Master ~410 (quoted 300), WIC ~320 (190), Son ~310 (180), Daughter ~280 (130), Corridor ~215 (0). If partial ceiling intended, write 'partial' in description.</t>
        </is>
      </c>
      <c r="I9" s="10" t="inlineStr">
        <is>
          <t>B</t>
        </is>
      </c>
    </row>
    <row r="10">
      <c r="A10" s="7" t="n">
        <v>9</v>
      </c>
      <c r="B10" s="7" t="inlineStr">
        <is>
          <t>Ceiling</t>
        </is>
      </c>
      <c r="C10" s="7" t="inlineStr">
        <is>
          <t>Moisture-resistant ceiling – Parents, Son's &amp; Daughter's bathrooms, powder room</t>
        </is>
      </c>
      <c r="D10" s="7" t="n">
        <v>140</v>
      </c>
      <c r="E10" s="7" t="inlineStr">
        <is>
          <t>sqft</t>
        </is>
      </c>
      <c r="F10" s="8" t="n">
        <v>7</v>
      </c>
      <c r="G10" s="8" t="n">
        <v>980</v>
      </c>
      <c r="H10" s="7" t="inlineStr">
        <is>
          <t>Only Master Bath has ceiling. 3D shows LED pelmet ceilings in all bathrooms.</t>
        </is>
      </c>
      <c r="I10" s="9" t="inlineStr">
        <is>
          <t>A</t>
        </is>
      </c>
    </row>
    <row r="11">
      <c r="A11" s="7" t="n">
        <v>10</v>
      </c>
      <c r="B11" s="7" t="inlineStr">
        <is>
          <t>Ceiling</t>
        </is>
      </c>
      <c r="C11" s="7" t="inlineStr">
        <is>
          <t>Air-cond linear grille cut-out / access panel 600x600</t>
        </is>
      </c>
      <c r="D11" s="7" t="n">
        <v>10</v>
      </c>
      <c r="E11" s="7" t="inlineStr">
        <is>
          <t>nos</t>
        </is>
      </c>
      <c r="F11" s="8" t="n">
        <v>150</v>
      </c>
      <c r="G11" s="8" t="n">
        <v>1500</v>
      </c>
      <c r="H11" s="7" t="inlineStr">
        <is>
          <t>3D shows linear diffusers (living, dining, family area, master) – ducted AC needs openings &amp; access panels even if AC is by owner's vendor.</t>
        </is>
      </c>
      <c r="I11" s="10" t="inlineStr">
        <is>
          <t>B</t>
        </is>
      </c>
    </row>
    <row r="12">
      <c r="A12" s="7" t="n">
        <v>11</v>
      </c>
      <c r="B12" s="7" t="inlineStr">
        <is>
          <t>Ceiling</t>
        </is>
      </c>
      <c r="C12" s="7" t="inlineStr">
        <is>
          <t>Curved arch / curved wall-to-ceiling transition at staircase &amp; corridor</t>
        </is>
      </c>
      <c r="D12" s="7" t="n">
        <v>2</v>
      </c>
      <c r="E12" s="7" t="inlineStr">
        <is>
          <t>nos</t>
        </is>
      </c>
      <c r="F12" s="8" t="n">
        <v>1200</v>
      </c>
      <c r="G12" s="8" t="n">
        <v>2400</v>
      </c>
      <c r="H12" s="7" t="inlineStr">
        <is>
          <t>3D p.4-7, p.37 curved arch openings.</t>
        </is>
      </c>
      <c r="I12" s="10" t="inlineStr">
        <is>
          <t>B</t>
        </is>
      </c>
    </row>
    <row r="13">
      <c r="A13" s="7" t="n">
        <v>12</v>
      </c>
      <c r="B13" s="7" t="inlineStr">
        <is>
          <t>Preliminaries</t>
        </is>
      </c>
      <c r="C13" s="7" t="inlineStr">
        <is>
          <t>Scaffolding for double-volume void (ceiling, painting, curtain track &amp; pendant installation)</t>
        </is>
      </c>
      <c r="D13" s="7" t="n">
        <v>1</v>
      </c>
      <c r="E13" s="7" t="inlineStr">
        <is>
          <t>L/S</t>
        </is>
      </c>
      <c r="F13" s="8" t="n">
        <v>3500</v>
      </c>
      <c r="G13" s="8" t="n">
        <v>3500</v>
      </c>
      <c r="H13" s="7" t="inlineStr">
        <is>
          <t>Living/dining void approx. 6-7 m height. Ceiling and painting rates assume normal height.</t>
        </is>
      </c>
      <c r="I13" s="9" t="inlineStr">
        <is>
          <t>A</t>
        </is>
      </c>
    </row>
    <row r="14">
      <c r="A14" s="7" t="n">
        <v>13</v>
      </c>
      <c r="B14" s="7" t="inlineStr">
        <is>
          <t>Preliminaries</t>
        </is>
      </c>
      <c r="C14" s="7" t="inlineStr">
        <is>
          <t>Final chemical cleaning, approx. 5,700 sqft built-up</t>
        </is>
      </c>
      <c r="D14" s="7" t="n">
        <v>1</v>
      </c>
      <c r="E14" s="7" t="inlineStr">
        <is>
          <t>L/S</t>
        </is>
      </c>
      <c r="F14" s="8" t="n">
        <v>3800</v>
      </c>
      <c r="G14" s="8" t="n">
        <v>3800</v>
      </c>
      <c r="H14" s="7" t="inlineStr">
        <is>
          <t>Not in quote. QS matrix: post-reno cleaning RM600-1,200 for condo → landed 5,700 sqft scale up.</t>
        </is>
      </c>
      <c r="I14" s="9" t="inlineStr">
        <is>
          <t>A</t>
        </is>
      </c>
    </row>
    <row r="15">
      <c r="A15" s="7" t="n">
        <v>14</v>
      </c>
      <c r="B15" s="7" t="inlineStr">
        <is>
          <t>Preliminaries</t>
        </is>
      </c>
      <c r="C15" s="7" t="inlineStr">
        <is>
          <t>Contractor All-Risk insurance (approx. 0.25% of contract)</t>
        </is>
      </c>
      <c r="D15" s="7" t="n">
        <v>1</v>
      </c>
      <c r="E15" s="7" t="inlineStr">
        <is>
          <t>L/S</t>
        </is>
      </c>
      <c r="F15" s="8" t="n">
        <v>2500</v>
      </c>
      <c r="G15" s="8" t="n">
        <v>2500</v>
      </c>
      <c r="H15" s="7" t="inlineStr">
        <is>
          <t>Optional but recommended for RM1M job.</t>
        </is>
      </c>
      <c r="I15" s="11" t="inlineStr">
        <is>
          <t>C</t>
        </is>
      </c>
    </row>
    <row r="16">
      <c r="A16" s="7" t="n">
        <v>15</v>
      </c>
      <c r="B16" s="7" t="inlineStr">
        <is>
          <t>Joinery</t>
        </is>
      </c>
      <c r="C16" s="7" t="inlineStr">
        <is>
          <t>Foyer / Living divider – full-height framed screen c/w indoor planter box, pebbles &amp; concealed lighting</t>
        </is>
      </c>
      <c r="D16" s="7" t="n">
        <v>1</v>
      </c>
      <c r="E16" s="7" t="inlineStr">
        <is>
          <t>nos</t>
        </is>
      </c>
      <c r="F16" s="8" t="n">
        <v>8500</v>
      </c>
      <c r="G16" s="8" t="n">
        <v>8500</v>
      </c>
      <c r="H16" s="7" t="inlineStr">
        <is>
          <t>3D p.8-12 &amp; plan label 'DIVIDER'. Not in quote.</t>
        </is>
      </c>
      <c r="I16" s="9" t="inlineStr">
        <is>
          <t>A</t>
        </is>
      </c>
    </row>
    <row r="17">
      <c r="A17" s="7" t="n">
        <v>16</v>
      </c>
      <c r="B17" s="7" t="inlineStr">
        <is>
          <t>Joinery</t>
        </is>
      </c>
      <c r="C17" s="7" t="inlineStr">
        <is>
          <t>Second hidden door (flush with wall panelling, concealed hinges &amp; push latch) @ Utility / Powder</t>
        </is>
      </c>
      <c r="D17" s="7" t="n">
        <v>1</v>
      </c>
      <c r="E17" s="7" t="inlineStr">
        <is>
          <t>nos</t>
        </is>
      </c>
      <c r="F17" s="8" t="n">
        <v>4500</v>
      </c>
      <c r="G17" s="8" t="n">
        <v>4500</v>
      </c>
      <c r="H17" s="7" t="inlineStr">
        <is>
          <t>3D plan labels 'HIDDEN DOOR' x2. Quote only covers the Dry Kitchen one.</t>
        </is>
      </c>
      <c r="I17" s="9" t="inlineStr">
        <is>
          <t>A</t>
        </is>
      </c>
    </row>
    <row r="18">
      <c r="A18" s="7" t="n">
        <v>17</v>
      </c>
      <c r="B18" s="7" t="inlineStr">
        <is>
          <t>Joinery</t>
        </is>
      </c>
      <c r="C18" s="7" t="inlineStr">
        <is>
          <t>Maid room tatami platform c/w storage</t>
        </is>
      </c>
      <c r="D18" s="7" t="n">
        <v>1</v>
      </c>
      <c r="E18" s="7" t="inlineStr">
        <is>
          <t>nos</t>
        </is>
      </c>
      <c r="F18" s="8" t="n">
        <v>2800</v>
      </c>
      <c r="G18" s="8" t="n">
        <v>2800</v>
      </c>
      <c r="H18" s="7" t="inlineStr">
        <is>
          <t>Plan label 'TATAMI W/ STORAGE' at maid room. Quote has wardrobe + headboard only.</t>
        </is>
      </c>
      <c r="I18" s="10" t="inlineStr">
        <is>
          <t>B</t>
        </is>
      </c>
    </row>
    <row r="19">
      <c r="A19" s="7" t="n">
        <v>18</v>
      </c>
      <c r="B19" s="7" t="inlineStr">
        <is>
          <t>Joinery</t>
        </is>
      </c>
      <c r="C19" s="7" t="inlineStr">
        <is>
          <t>Parents Bath – floating vanity cabinet</t>
        </is>
      </c>
      <c r="D19" s="7" t="n">
        <v>1</v>
      </c>
      <c r="E19" s="7" t="inlineStr">
        <is>
          <t>nos</t>
        </is>
      </c>
      <c r="F19" s="8" t="n">
        <v>2800</v>
      </c>
      <c r="G19" s="8" t="n">
        <v>2800</v>
      </c>
      <c r="H19" s="7" t="inlineStr">
        <is>
          <t>3D p.43.</t>
        </is>
      </c>
      <c r="I19" s="9" t="inlineStr">
        <is>
          <t>A</t>
        </is>
      </c>
    </row>
    <row r="20">
      <c r="A20" s="7" t="n">
        <v>19</v>
      </c>
      <c r="B20" s="7" t="inlineStr">
        <is>
          <t>Joinery</t>
        </is>
      </c>
      <c r="C20" s="7" t="inlineStr">
        <is>
          <t>Parents Bath – tall storage cabinet (dark fluted door)</t>
        </is>
      </c>
      <c r="D20" s="7" t="n">
        <v>1</v>
      </c>
      <c r="E20" s="7" t="inlineStr">
        <is>
          <t>nos</t>
        </is>
      </c>
      <c r="F20" s="8" t="n">
        <v>3200</v>
      </c>
      <c r="G20" s="8" t="n">
        <v>3200</v>
      </c>
      <c r="H20" s="7" t="inlineStr">
        <is>
          <t>3D p.43 right side.</t>
        </is>
      </c>
      <c r="I20" s="9" t="inlineStr">
        <is>
          <t>A</t>
        </is>
      </c>
    </row>
    <row r="21">
      <c r="A21" s="7" t="n">
        <v>20</v>
      </c>
      <c r="B21" s="7" t="inlineStr">
        <is>
          <t>Joinery</t>
        </is>
      </c>
      <c r="C21" s="7" t="inlineStr">
        <is>
          <t>Son's &amp; Daughter's Bath – floating vanity cabinet</t>
        </is>
      </c>
      <c r="D21" s="7" t="n">
        <v>2</v>
      </c>
      <c r="E21" s="7" t="inlineStr">
        <is>
          <t>nos</t>
        </is>
      </c>
      <c r="F21" s="8" t="n">
        <v>2600</v>
      </c>
      <c r="G21" s="8" t="n">
        <v>5200</v>
      </c>
      <c r="H21" s="7" t="inlineStr">
        <is>
          <t>3D p.73, p.78.</t>
        </is>
      </c>
      <c r="I21" s="9" t="inlineStr">
        <is>
          <t>A</t>
        </is>
      </c>
    </row>
    <row r="22">
      <c r="A22" s="7" t="n">
        <v>21</v>
      </c>
      <c r="B22" s="7" t="inlineStr">
        <is>
          <t>Joinery</t>
        </is>
      </c>
      <c r="C22" s="7" t="inlineStr">
        <is>
          <t>Parents, Son's &amp; Daughter's Bath – mirror cabinet c/w LED</t>
        </is>
      </c>
      <c r="D22" s="7" t="n">
        <v>3</v>
      </c>
      <c r="E22" s="7" t="inlineStr">
        <is>
          <t>nos</t>
        </is>
      </c>
      <c r="F22" s="8" t="n">
        <v>1200</v>
      </c>
      <c r="G22" s="8" t="n">
        <v>3600</v>
      </c>
      <c r="H22" s="7" t="inlineStr">
        <is>
          <t>3D shows mirror cabinets in all three.</t>
        </is>
      </c>
      <c r="I22" s="9" t="inlineStr">
        <is>
          <t>A</t>
        </is>
      </c>
    </row>
    <row r="23">
      <c r="A23" s="7" t="n">
        <v>22</v>
      </c>
      <c r="B23" s="7" t="inlineStr">
        <is>
          <t>Joinery</t>
        </is>
      </c>
      <c r="C23" s="7" t="inlineStr">
        <is>
          <t>Powder room – vanity / stone pedestal basin base &amp; mirror</t>
        </is>
      </c>
      <c r="D23" s="7" t="n">
        <v>1</v>
      </c>
      <c r="E23" s="7" t="inlineStr">
        <is>
          <t>L/S</t>
        </is>
      </c>
      <c r="F23" s="8" t="n">
        <v>3000</v>
      </c>
      <c r="G23" s="8" t="n">
        <v>3000</v>
      </c>
      <c r="H23" s="7" t="inlineStr">
        <is>
          <t>3D p.44.</t>
        </is>
      </c>
      <c r="I23" s="10" t="inlineStr">
        <is>
          <t>B</t>
        </is>
      </c>
    </row>
    <row r="24">
      <c r="A24" s="7" t="n">
        <v>23</v>
      </c>
      <c r="B24" s="7" t="inlineStr">
        <is>
          <t>Joinery</t>
        </is>
      </c>
      <c r="C24" s="7" t="inlineStr">
        <is>
          <t>Staircase side wall – full-height V-groove feature panelling</t>
        </is>
      </c>
      <c r="D24" s="7" t="n">
        <v>1</v>
      </c>
      <c r="E24" s="7" t="inlineStr">
        <is>
          <t>L/S</t>
        </is>
      </c>
      <c r="F24" s="8" t="n">
        <v>8500</v>
      </c>
      <c r="G24" s="8" t="n">
        <v>8500</v>
      </c>
      <c r="H24" s="7" t="inlineStr">
        <is>
          <t>3D p.37-38. Confirm extent with YS.</t>
        </is>
      </c>
      <c r="I24" s="10" t="inlineStr">
        <is>
          <t>B</t>
        </is>
      </c>
    </row>
    <row r="25">
      <c r="A25" s="7" t="n">
        <v>24</v>
      </c>
      <c r="B25" s="7" t="inlineStr">
        <is>
          <t>Joinery</t>
        </is>
      </c>
      <c r="C25" s="7" t="inlineStr">
        <is>
          <t>Master Bath – open-shelf tall storage unit</t>
        </is>
      </c>
      <c r="D25" s="7" t="n">
        <v>1</v>
      </c>
      <c r="E25" s="7" t="inlineStr">
        <is>
          <t>nos</t>
        </is>
      </c>
      <c r="F25" s="8" t="n">
        <v>3500</v>
      </c>
      <c r="G25" s="8" t="n">
        <v>3500</v>
      </c>
      <c r="H25" s="7" t="inlineStr">
        <is>
          <t>3D master bath (right side timber shelving).</t>
        </is>
      </c>
      <c r="I25" s="11" t="inlineStr">
        <is>
          <t>C</t>
        </is>
      </c>
    </row>
    <row r="26">
      <c r="A26" s="7" t="n">
        <v>25</v>
      </c>
      <c r="B26" s="7" t="inlineStr">
        <is>
          <t>Table Top</t>
        </is>
      </c>
      <c r="C26" s="7" t="inlineStr">
        <is>
          <t>Dry Kitchen island – top-up for 900mm depth + waterfall ends (≈44 sqft sintered @ RM140/sqft vs 10ft x RM280 quoted)</t>
        </is>
      </c>
      <c r="D26" s="7" t="n">
        <v>1</v>
      </c>
      <c r="E26" s="7" t="inlineStr">
        <is>
          <t>L/S</t>
        </is>
      </c>
      <c r="F26" s="8" t="n">
        <v>3400</v>
      </c>
      <c r="G26" s="8" t="n">
        <v>3400</v>
      </c>
      <c r="H26" s="7" t="inlineStr">
        <is>
          <t>Per-ft rate assumes 600mm depth. Island is 2800x900 with thick waterfall/curved end in 3D.</t>
        </is>
      </c>
      <c r="I26" s="9" t="inlineStr">
        <is>
          <t>A</t>
        </is>
      </c>
    </row>
    <row r="27">
      <c r="A27" s="7" t="n">
        <v>26</v>
      </c>
      <c r="B27" s="7" t="inlineStr">
        <is>
          <t>Table Top</t>
        </is>
      </c>
      <c r="C27" s="7" t="inlineStr">
        <is>
          <t>Vanity tops – Parents, Son's, Daughter's bath (sintered / quartz)</t>
        </is>
      </c>
      <c r="D27" s="7" t="n">
        <v>12</v>
      </c>
      <c r="E27" s="7" t="inlineStr">
        <is>
          <t>ft</t>
        </is>
      </c>
      <c r="F27" s="8" t="n">
        <v>280</v>
      </c>
      <c r="G27" s="8" t="n">
        <v>3360</v>
      </c>
      <c r="H27" s="7" t="inlineStr">
        <is>
          <t>3 vanities x ~4 ft.</t>
        </is>
      </c>
      <c r="I27" s="9" t="inlineStr">
        <is>
          <t>A</t>
        </is>
      </c>
    </row>
    <row r="28">
      <c r="A28" s="7" t="n">
        <v>27</v>
      </c>
      <c r="B28" s="7" t="inlineStr">
        <is>
          <t>Table Top</t>
        </is>
      </c>
      <c r="C28" s="7" t="inlineStr">
        <is>
          <t>Open hole – additional basins</t>
        </is>
      </c>
      <c r="D28" s="7" t="n">
        <v>3</v>
      </c>
      <c r="E28" s="7" t="inlineStr">
        <is>
          <t>nos</t>
        </is>
      </c>
      <c r="F28" s="8" t="n">
        <v>150</v>
      </c>
      <c r="G28" s="8" t="n">
        <v>450</v>
      </c>
      <c r="H28" s="7" t="inlineStr"/>
      <c r="I28" s="9" t="inlineStr">
        <is>
          <t>A</t>
        </is>
      </c>
    </row>
    <row r="29">
      <c r="A29" s="7" t="n">
        <v>28</v>
      </c>
      <c r="B29" s="7" t="inlineStr">
        <is>
          <t>Doors &amp; Windows</t>
        </is>
      </c>
      <c r="C29" s="7" t="inlineStr">
        <is>
          <t>10mm tempered glass shower screen – Parents, Son's &amp; Daughter's bath</t>
        </is>
      </c>
      <c r="D29" s="7" t="n">
        <v>3</v>
      </c>
      <c r="E29" s="7" t="inlineStr">
        <is>
          <t>nos</t>
        </is>
      </c>
      <c r="F29" s="8" t="n">
        <v>1800</v>
      </c>
      <c r="G29" s="8" t="n">
        <v>5400</v>
      </c>
      <c r="H29" s="7" t="inlineStr">
        <is>
          <t>Only Master Bath screen quoted. 3D shows glass screens in all.</t>
        </is>
      </c>
      <c r="I29" s="9" t="inlineStr">
        <is>
          <t>A</t>
        </is>
      </c>
    </row>
    <row r="30">
      <c r="A30" s="7" t="n">
        <v>29</v>
      </c>
      <c r="B30" s="7" t="inlineStr">
        <is>
          <t>Doors &amp; Windows</t>
        </is>
      </c>
      <c r="C30" s="7" t="inlineStr">
        <is>
          <t>Existing doors – refurbish / laminate to match new palette c/w new black lever handles (approx. 10 leaves)</t>
        </is>
      </c>
      <c r="D30" s="7" t="n">
        <v>10</v>
      </c>
      <c r="E30" s="7" t="inlineStr">
        <is>
          <t>nos</t>
        </is>
      </c>
      <c r="F30" s="8" t="n">
        <v>650</v>
      </c>
      <c r="G30" s="8" t="n">
        <v>6500</v>
      </c>
      <c r="H30" s="7" t="inlineStr">
        <is>
          <t>3D shows flush doors with black handles everywhere. No door painting/refurb in Painting either. Confirm door schedule.</t>
        </is>
      </c>
      <c r="I30" s="10" t="inlineStr">
        <is>
          <t>B</t>
        </is>
      </c>
    </row>
    <row r="31">
      <c r="A31" s="7" t="n">
        <v>30</v>
      </c>
      <c r="B31" s="7" t="inlineStr">
        <is>
          <t>Doors &amp; Windows</t>
        </is>
      </c>
      <c r="C31" s="7" t="inlineStr">
        <is>
          <t>Glass balustrade (12mm laminated tempered) c/w timber handrail @ staircase &amp; void edge – IF replacing existing</t>
        </is>
      </c>
      <c r="D31" s="7" t="n">
        <v>46</v>
      </c>
      <c r="E31" s="7" t="inlineStr">
        <is>
          <t>ft</t>
        </is>
      </c>
      <c r="F31" s="8" t="n">
        <v>450</v>
      </c>
      <c r="G31" s="8" t="n">
        <v>20700</v>
      </c>
      <c r="H31" s="7" t="inlineStr">
        <is>
          <t>3D p.38-42 frameless glass + timber rail. Confirm whether existing balustrade stays.</t>
        </is>
      </c>
      <c r="I31" s="10" t="inlineStr">
        <is>
          <t>B</t>
        </is>
      </c>
    </row>
    <row r="32">
      <c r="A32" s="7" t="n">
        <v>31</v>
      </c>
      <c r="B32" s="7" t="inlineStr">
        <is>
          <t>Electrical</t>
        </is>
      </c>
      <c r="C32" s="7" t="inlineStr">
        <is>
          <t>32A dedicated point for induction hob (from DB)</t>
        </is>
      </c>
      <c r="D32" s="7" t="n">
        <v>1</v>
      </c>
      <c r="E32" s="7" t="inlineStr">
        <is>
          <t>nos</t>
        </is>
      </c>
      <c r="F32" s="8" t="n">
        <v>650</v>
      </c>
      <c r="G32" s="8" t="n">
        <v>650</v>
      </c>
      <c r="H32" s="7" t="inlineStr">
        <is>
          <t>Induction hob cannot run on 15A.</t>
        </is>
      </c>
      <c r="I32" s="9" t="inlineStr">
        <is>
          <t>A</t>
        </is>
      </c>
    </row>
    <row r="33">
      <c r="A33" s="7" t="n">
        <v>32</v>
      </c>
      <c r="B33" s="7" t="inlineStr">
        <is>
          <t>Electrical</t>
        </is>
      </c>
      <c r="C33" s="7" t="inlineStr">
        <is>
          <t>Additional 15A points – water heaters x4, dishwasher, wine chiller (quote has only 6 nos)</t>
        </is>
      </c>
      <c r="D33" s="7" t="n">
        <v>6</v>
      </c>
      <c r="E33" s="7" t="inlineStr">
        <is>
          <t>nos</t>
        </is>
      </c>
      <c r="F33" s="8" t="n">
        <v>350</v>
      </c>
      <c r="G33" s="8" t="n">
        <v>2100</v>
      </c>
      <c r="H33" s="7" t="inlineStr">
        <is>
          <t>4 bathrooms with rain showers + oven + dryer + dishwasher + wine chiller = ~12 heavy points.</t>
        </is>
      </c>
      <c r="I33" s="9" t="inlineStr">
        <is>
          <t>A</t>
        </is>
      </c>
    </row>
    <row r="34">
      <c r="A34" s="7" t="n">
        <v>33</v>
      </c>
      <c r="B34" s="7" t="inlineStr">
        <is>
          <t>Electrical</t>
        </is>
      </c>
      <c r="C34" s="7" t="inlineStr">
        <is>
          <t>PROVISIONAL – DB upgrade / new sub-DB for smart home &amp; added load (replace 'TBC')</t>
        </is>
      </c>
      <c r="D34" s="7" t="n">
        <v>1</v>
      </c>
      <c r="E34" s="7" t="inlineStr">
        <is>
          <t>L/S</t>
        </is>
      </c>
      <c r="F34" s="8" t="n">
        <v>4500</v>
      </c>
      <c r="G34" s="8" t="n">
        <v>4500</v>
      </c>
      <c r="H34" s="7" t="inlineStr">
        <is>
          <t>KNX + 18 curtain motors + cinema + heavy appliances. 'TBC' = RM0 today.</t>
        </is>
      </c>
      <c r="I34" s="10" t="inlineStr">
        <is>
          <t>B</t>
        </is>
      </c>
    </row>
    <row r="35">
      <c r="A35" s="7" t="n">
        <v>34</v>
      </c>
      <c r="B35" s="7" t="inlineStr">
        <is>
          <t>Electrical</t>
        </is>
      </c>
      <c r="C35" s="7" t="inlineStr">
        <is>
          <t>LED step-light points @ staircase</t>
        </is>
      </c>
      <c r="D35" s="7" t="n">
        <v>10</v>
      </c>
      <c r="E35" s="7" t="inlineStr">
        <is>
          <t>nos</t>
        </is>
      </c>
      <c r="F35" s="8" t="n">
        <v>160</v>
      </c>
      <c r="G35" s="8" t="n">
        <v>1600</v>
      </c>
      <c r="H35" s="7" t="inlineStr">
        <is>
          <t>3D p.38.</t>
        </is>
      </c>
      <c r="I35" s="10" t="inlineStr">
        <is>
          <t>B</t>
        </is>
      </c>
    </row>
    <row r="36">
      <c r="A36" s="7" t="n">
        <v>35</v>
      </c>
      <c r="B36" s="7" t="inlineStr">
        <is>
          <t>Electrical</t>
        </is>
      </c>
      <c r="C36" s="7" t="inlineStr">
        <is>
          <t>Exhaust fan points – powder room &amp; bathrooms</t>
        </is>
      </c>
      <c r="D36" s="7" t="n">
        <v>4</v>
      </c>
      <c r="E36" s="7" t="inlineStr">
        <is>
          <t>nos</t>
        </is>
      </c>
      <c r="F36" s="8" t="n">
        <v>200</v>
      </c>
      <c r="G36" s="8" t="n">
        <v>800</v>
      </c>
      <c r="H36" s="7" t="inlineStr"/>
      <c r="I36" s="11" t="inlineStr">
        <is>
          <t>C</t>
        </is>
      </c>
    </row>
    <row r="37">
      <c r="A37" s="7" t="n">
        <v>36</v>
      </c>
      <c r="B37" s="7" t="inlineStr">
        <is>
          <t>Plumbing</t>
        </is>
      </c>
      <c r="C37" s="7" t="inlineStr">
        <is>
          <t>Water heater installation labour (unit by owner)</t>
        </is>
      </c>
      <c r="D37" s="7" t="n">
        <v>4</v>
      </c>
      <c r="E37" s="7" t="inlineStr">
        <is>
          <t>nos</t>
        </is>
      </c>
      <c r="F37" s="8" t="n">
        <v>180</v>
      </c>
      <c r="G37" s="8" t="n">
        <v>720</v>
      </c>
      <c r="H37" s="7" t="inlineStr"/>
      <c r="I37" s="9" t="inlineStr">
        <is>
          <t>A</t>
        </is>
      </c>
    </row>
    <row r="38">
      <c r="A38" s="7" t="n">
        <v>37</v>
      </c>
      <c r="B38" s="7" t="inlineStr">
        <is>
          <t>Plumbing</t>
        </is>
      </c>
      <c r="C38" s="7" t="inlineStr">
        <is>
          <t>PROVISIONAL – concealed piping re-route for new vanity positions @ Parents, Son's, Daughter's bath</t>
        </is>
      </c>
      <c r="D38" s="7" t="n">
        <v>3</v>
      </c>
      <c r="E38" s="7" t="inlineStr">
        <is>
          <t>nos</t>
        </is>
      </c>
      <c r="F38" s="8" t="n">
        <v>1200</v>
      </c>
      <c r="G38" s="8" t="n">
        <v>3600</v>
      </c>
      <c r="H38" s="7" t="inlineStr">
        <is>
          <t>Quote assumes 'reinstall' only. 3D vanity/shower positions differ from existing.</t>
        </is>
      </c>
      <c r="I38" s="10" t="inlineStr">
        <is>
          <t>B</t>
        </is>
      </c>
    </row>
    <row r="39">
      <c r="A39" s="7" t="n">
        <v>38</v>
      </c>
      <c r="B39" s="7" t="inlineStr">
        <is>
          <t>Flooring</t>
        </is>
      </c>
      <c r="C39" s="7" t="inlineStr">
        <is>
          <t>Engineering wood – quantity top-up (rough take-off ~1,880 sqft vs 1,230 quoted)</t>
        </is>
      </c>
      <c r="D39" s="7" t="n">
        <v>650</v>
      </c>
      <c r="E39" s="7" t="inlineStr">
        <is>
          <t>sqft</t>
        </is>
      </c>
      <c r="F39" s="8" t="n">
        <v>22</v>
      </c>
      <c r="G39" s="8" t="n">
        <v>14300</v>
      </c>
      <c r="H39" s="7" t="inlineStr">
        <is>
          <t>FF wood rooms ≈ 165 m² + Parents Room ≈ 20 m². Verify in CAD before sending.</t>
        </is>
      </c>
      <c r="I39" s="9" t="inlineStr">
        <is>
          <t>A</t>
        </is>
      </c>
    </row>
    <row r="40">
      <c r="A40" s="7" t="n">
        <v>39</v>
      </c>
      <c r="B40" s="7" t="inlineStr">
        <is>
          <t>Flooring</t>
        </is>
      </c>
      <c r="C40" s="7" t="inlineStr">
        <is>
          <t>Levelling screed – quantity top-up to match</t>
        </is>
      </c>
      <c r="D40" s="7" t="n">
        <v>650</v>
      </c>
      <c r="E40" s="7" t="inlineStr">
        <is>
          <t>sqft</t>
        </is>
      </c>
      <c r="F40" s="8" t="n">
        <v>5</v>
      </c>
      <c r="G40" s="8" t="n">
        <v>3250</v>
      </c>
      <c r="H40" s="7" t="inlineStr"/>
      <c r="I40" s="9" t="inlineStr">
        <is>
          <t>A</t>
        </is>
      </c>
    </row>
    <row r="41">
      <c r="A41" s="7" t="n">
        <v>40</v>
      </c>
      <c r="B41" s="7" t="inlineStr">
        <is>
          <t>Flooring</t>
        </is>
      </c>
      <c r="C41" s="7" t="inlineStr">
        <is>
          <t>Skirting – quantity top-up</t>
        </is>
      </c>
      <c r="D41" s="7" t="n">
        <v>200</v>
      </c>
      <c r="E41" s="7" t="inlineStr">
        <is>
          <t>ft</t>
        </is>
      </c>
      <c r="F41" s="8" t="n">
        <v>8</v>
      </c>
      <c r="G41" s="8" t="n">
        <v>1600</v>
      </c>
      <c r="H41" s="7" t="inlineStr"/>
      <c r="I41" s="10" t="inlineStr">
        <is>
          <t>B</t>
        </is>
      </c>
    </row>
    <row r="42">
      <c r="A42" s="7" t="n">
        <v>41</v>
      </c>
      <c r="B42" s="7" t="inlineStr">
        <is>
          <t>Curtains</t>
        </is>
      </c>
      <c r="C42" s="7" t="inlineStr">
        <is>
          <t>Family Area – full-height sheer + night curtain (over-height)</t>
        </is>
      </c>
      <c r="D42" s="7" t="n">
        <v>14</v>
      </c>
      <c r="E42" s="7" t="inlineStr">
        <is>
          <t>ft</t>
        </is>
      </c>
      <c r="F42" s="8" t="n">
        <v>160</v>
      </c>
      <c r="G42" s="8" t="n">
        <v>2240</v>
      </c>
      <c r="H42" s="7" t="inlineStr">
        <is>
          <t>3D p.41-44 sheer curtains. Not in quote.</t>
        </is>
      </c>
      <c r="I42" s="9" t="inlineStr">
        <is>
          <t>A</t>
        </is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inlineStr"/>
      <c r="B44" s="7" t="inlineStr"/>
      <c r="C44" s="12" t="inlineStr">
        <is>
          <t>TOTAL – Priority A</t>
        </is>
      </c>
      <c r="D44" s="7" t="inlineStr"/>
      <c r="E44" s="7" t="inlineStr"/>
      <c r="F44" s="7" t="inlineStr"/>
      <c r="G44" s="13">
        <f>SUMIF(I2:I42,"A",G2:G42)</f>
        <v/>
      </c>
      <c r="H44" s="7" t="n"/>
      <c r="I44" s="7" t="n"/>
    </row>
    <row r="45">
      <c r="A45" s="7" t="inlineStr"/>
      <c r="B45" s="7" t="inlineStr"/>
      <c r="C45" s="12" t="inlineStr">
        <is>
          <t>TOTAL – Priority B</t>
        </is>
      </c>
      <c r="D45" s="7" t="inlineStr"/>
      <c r="E45" s="7" t="inlineStr"/>
      <c r="F45" s="7" t="inlineStr"/>
      <c r="G45" s="13">
        <f>SUMIF(I2:I42,"B",G2:G42)</f>
        <v/>
      </c>
      <c r="H45" s="7" t="n"/>
      <c r="I45" s="7" t="n"/>
    </row>
    <row r="46">
      <c r="A46" s="7" t="inlineStr"/>
      <c r="B46" s="7" t="inlineStr"/>
      <c r="C46" s="12" t="inlineStr">
        <is>
          <t>TOTAL – Priority C</t>
        </is>
      </c>
      <c r="D46" s="7" t="inlineStr"/>
      <c r="E46" s="7" t="inlineStr"/>
      <c r="F46" s="7" t="inlineStr"/>
      <c r="G46" s="13">
        <f>SUMIF(I2:I42,"C",G2:G42)</f>
        <v/>
      </c>
      <c r="H46" s="7" t="n"/>
      <c r="I46" s="7" t="n"/>
    </row>
    <row r="47">
      <c r="A47" s="7" t="inlineStr"/>
      <c r="B47" s="7" t="inlineStr"/>
      <c r="C47" s="12" t="inlineStr">
        <is>
          <t>TOTAL – all</t>
        </is>
      </c>
      <c r="D47" s="7" t="inlineStr"/>
      <c r="E47" s="7" t="inlineStr"/>
      <c r="F47" s="7" t="inlineStr"/>
      <c r="G47" s="13">
        <f>SUM(G2:G42)</f>
        <v/>
      </c>
      <c r="H47" s="7" t="n"/>
      <c r="I4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1" customWidth="1" min="4" max="4"/>
    <col width="9" customWidth="1" min="5" max="5"/>
    <col width="9" customWidth="1" min="6" max="6"/>
    <col width="12" customWidth="1" min="7" max="7"/>
    <col width="70" customWidth="1" min="8" max="8"/>
  </cols>
  <sheetData>
    <row r="1">
      <c r="A1" s="6" t="inlineStr">
        <is>
          <t>Section</t>
        </is>
      </c>
      <c r="B1" s="6" t="inlineStr">
        <is>
          <t>Item</t>
        </is>
      </c>
      <c r="C1" s="6" t="inlineStr">
        <is>
          <t>Quoted qty</t>
        </is>
      </c>
      <c r="D1" s="6" t="inlineStr">
        <is>
          <t>My take-off</t>
        </is>
      </c>
      <c r="E1" s="6" t="inlineStr">
        <is>
          <t>Unit</t>
        </is>
      </c>
      <c r="F1" s="6" t="inlineStr">
        <is>
          <t>Rate</t>
        </is>
      </c>
      <c r="G1" s="6" t="inlineStr">
        <is>
          <t>Diff (RM)</t>
        </is>
      </c>
      <c r="H1" s="6" t="inlineStr">
        <is>
          <t>Note</t>
        </is>
      </c>
    </row>
    <row r="2">
      <c r="A2" s="7" t="inlineStr">
        <is>
          <t>Wet Works</t>
        </is>
      </c>
      <c r="B2" s="7" t="inlineStr">
        <is>
          <t>Ling Hua Bai 900x1800 floor tiling (labour)</t>
        </is>
      </c>
      <c r="C2" s="7" t="n">
        <v>2000</v>
      </c>
      <c r="D2" s="7" t="n">
        <v>1190</v>
      </c>
      <c r="E2" s="7" t="inlineStr">
        <is>
          <t>sqft</t>
        </is>
      </c>
      <c r="F2" s="8" t="n">
        <v>37.14</v>
      </c>
      <c r="G2" s="8" t="n">
        <v>-30083.4</v>
      </c>
      <c r="H2" s="7" t="inlineStr">
        <is>
          <t>Living+Dining+Breakfast ≈ 6.44 m x 13.2 m + living extension ≈ 86.5 m² (931 sqft) + Wet Kitchen 4.42 x 5.40 = 257 sqft. Over by ~810 sqft.</t>
        </is>
      </c>
    </row>
    <row r="3">
      <c r="A3" s="7" t="inlineStr">
        <is>
          <t>Wet Works</t>
        </is>
      </c>
      <c r="B3" s="7" t="inlineStr">
        <is>
          <t>Ling Hua Bai material (pcs, 17.44 sqft/pc)</t>
        </is>
      </c>
      <c r="C3" s="7" t="n">
        <v>139.2</v>
      </c>
      <c r="D3" s="7" t="n">
        <v>79</v>
      </c>
      <c r="E3" s="7" t="inlineStr">
        <is>
          <t>pcs</t>
        </is>
      </c>
      <c r="F3" s="8" t="n">
        <v>280</v>
      </c>
      <c r="G3" s="8" t="n">
        <v>-16856</v>
      </c>
      <c r="H3" s="7" t="inlineStr">
        <is>
          <t>1,190 sqft x 1.15 wastage / 17.44 = 79 pcs. Over by ~60 pcs.</t>
        </is>
      </c>
    </row>
    <row r="4">
      <c r="A4" s="7" t="inlineStr">
        <is>
          <t>Wet Works</t>
        </is>
      </c>
      <c r="B4" s="7" t="inlineStr">
        <is>
          <t>Wet kitchen wall tile</t>
        </is>
      </c>
      <c r="C4" s="7" t="n">
        <v>250</v>
      </c>
      <c r="D4" s="7" t="n">
        <v>330</v>
      </c>
      <c r="E4" s="7" t="inlineStr">
        <is>
          <t>sqft</t>
        </is>
      </c>
      <c r="F4" s="8" t="n">
        <v>35</v>
      </c>
      <c r="G4" s="8" t="n">
        <v>2800</v>
      </c>
      <c r="H4" s="7" t="inlineStr">
        <is>
          <t>Under – see Missing Items #3.</t>
        </is>
      </c>
    </row>
    <row r="5">
      <c r="A5" s="7" t="inlineStr">
        <is>
          <t>Wet Works</t>
        </is>
      </c>
      <c r="B5" s="7" t="inlineStr">
        <is>
          <t>'First Floor Bathroom' tiling (331 sqft + traps + mitre)</t>
        </is>
      </c>
      <c r="C5" s="7" t="n">
        <v>331</v>
      </c>
      <c r="D5" s="7" t="n">
        <v>0</v>
      </c>
      <c r="E5" s="7" t="inlineStr">
        <is>
          <t>sqft</t>
        </is>
      </c>
      <c r="F5" s="8" t="n">
        <v>35</v>
      </c>
      <c r="G5" s="8" t="n">
        <v>-11585</v>
      </c>
      <c r="H5" s="7" t="inlineStr">
        <is>
          <t>New FF layout has only Master, Son's &amp; Daughter's bath (Bath 3 becomes Walk-in Closet). Probably meant Parents Bath (GF) – rename, don't double count.</t>
        </is>
      </c>
    </row>
    <row r="6">
      <c r="A6" s="7" t="inlineStr">
        <is>
          <t>Flooring</t>
        </is>
      </c>
      <c r="B6" s="7" t="inlineStr">
        <is>
          <t>Engineering wood</t>
        </is>
      </c>
      <c r="C6" s="7" t="n">
        <v>1230</v>
      </c>
      <c r="D6" s="7" t="n">
        <v>1880</v>
      </c>
      <c r="E6" s="7" t="inlineStr">
        <is>
          <t>sqft</t>
        </is>
      </c>
      <c r="F6" s="8" t="n">
        <v>22</v>
      </c>
      <c r="G6" s="8" t="n">
        <v>14300</v>
      </c>
      <c r="H6" s="7" t="inlineStr">
        <is>
          <t>Under – see Missing Items.</t>
        </is>
      </c>
    </row>
    <row r="7">
      <c r="A7" s="7" t="inlineStr">
        <is>
          <t>Ceiling</t>
        </is>
      </c>
      <c r="B7" s="7" t="inlineStr">
        <is>
          <t>Total plaster ceiling</t>
        </is>
      </c>
      <c r="C7" s="7" t="n">
        <v>2799</v>
      </c>
      <c r="D7" s="7" t="n">
        <v>3800</v>
      </c>
      <c r="E7" s="7" t="inlineStr">
        <is>
          <t>sqft</t>
        </is>
      </c>
      <c r="F7" s="8" t="n">
        <v>6</v>
      </c>
      <c r="G7" s="8" t="n">
        <v>6006</v>
      </c>
      <c r="H7" s="7" t="inlineStr">
        <is>
          <t>Under – see Missing Items.</t>
        </is>
      </c>
    </row>
    <row r="8">
      <c r="A8" s="7" t="inlineStr">
        <is>
          <t>Preliminaries</t>
        </is>
      </c>
      <c r="B8" s="7" t="inlineStr">
        <is>
          <t>Rorobin 6 trips</t>
        </is>
      </c>
      <c r="C8" s="7" t="n">
        <v>6</v>
      </c>
      <c r="D8" s="7" t="n">
        <v>0</v>
      </c>
      <c r="E8" s="7" t="inlineStr">
        <is>
          <t>trip</t>
        </is>
      </c>
      <c r="F8" s="8" t="n">
        <v>350</v>
      </c>
      <c r="G8" s="8" t="n">
        <v>-2100</v>
      </c>
      <c r="H8" s="7" t="inlineStr">
        <is>
          <t>Demolition L/S already says 'incl. Rorobin disposal'. Either remove here or reword as 'additional trips for joinery/packaging waste'.</t>
        </is>
      </c>
    </row>
    <row r="9">
      <c r="A9" s="7" t="inlineStr">
        <is>
          <t>Wet Works</t>
        </is>
      </c>
      <c r="B9" s="7" t="inlineStr">
        <is>
          <t>45° mitre corner – unit shown as 'inch'</t>
        </is>
      </c>
      <c r="C9" s="7" t="n">
        <v>251</v>
      </c>
      <c r="D9" s="7" t="n">
        <v>251</v>
      </c>
      <c r="E9" s="7" t="inlineStr">
        <is>
          <t>inch→ft?</t>
        </is>
      </c>
      <c r="F9" s="8" t="n">
        <v>37.14</v>
      </c>
      <c r="G9" s="8" t="n">
        <v>0</v>
      </c>
      <c r="H9" s="7" t="inlineStr">
        <is>
          <t>RM37/inch would be wrong. Change unit label to 'ft' so the client doesn't challenge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8" customWidth="1" min="4" max="4"/>
    <col width="14" customWidth="1" min="5" max="5"/>
    <col width="12" customWidth="1" min="6" max="6"/>
    <col width="70" customWidth="1" min="7" max="7"/>
    <col width="8" customWidth="1" min="8" max="8"/>
  </cols>
  <sheetData>
    <row r="1">
      <c r="A1" s="6" t="inlineStr">
        <is>
          <t>Section</t>
        </is>
      </c>
      <c r="B1" s="6" t="inlineStr">
        <is>
          <t>Item</t>
        </is>
      </c>
      <c r="C1" s="6" t="inlineStr">
        <is>
          <t>Quoted rate</t>
        </is>
      </c>
      <c r="D1" s="6" t="inlineStr">
        <is>
          <t>Subcon cost (QS matrix)</t>
        </is>
      </c>
      <c r="E1" s="6" t="inlineStr">
        <is>
          <t>Est. margin</t>
        </is>
      </c>
      <c r="F1" s="6" t="inlineStr">
        <is>
          <t>Target</t>
        </is>
      </c>
      <c r="G1" s="6" t="inlineStr">
        <is>
          <t>Comment</t>
        </is>
      </c>
      <c r="H1" s="6" t="inlineStr">
        <is>
          <t>Priority</t>
        </is>
      </c>
    </row>
    <row r="2">
      <c r="A2" s="7" t="inlineStr">
        <is>
          <t>Smart Home</t>
        </is>
      </c>
      <c r="B2" s="7" t="inlineStr">
        <is>
          <t>AETHO / M Vida package</t>
        </is>
      </c>
      <c r="C2" s="7" t="inlineStr">
        <is>
          <t>142,588.80</t>
        </is>
      </c>
      <c r="D2" s="7" t="inlineStr">
        <is>
          <t>142,588.80</t>
        </is>
      </c>
      <c r="E2" s="7" t="inlineStr">
        <is>
          <t>0%</t>
        </is>
      </c>
      <c r="F2" s="7" t="inlineStr">
        <is>
          <t>15-20%</t>
        </is>
      </c>
      <c r="G2" s="7" t="inlineStr">
        <is>
          <t>Passed through at vendor price – zero margin on 14.5% of contract, while Groo carries coordination, 3-month lead time, KNX programming risk. Add 15% (≈+RM21.4k) or let client contract AETHO directly + charge 8-10% coordination.</t>
        </is>
      </c>
      <c r="H2" s="9" t="inlineStr">
        <is>
          <t>A</t>
        </is>
      </c>
    </row>
    <row r="3">
      <c r="A3" s="7" t="inlineStr">
        <is>
          <t>Project Management</t>
        </is>
      </c>
      <c r="B3" s="7" t="inlineStr">
        <is>
          <t>PM fee RM1.80/sqft</t>
        </is>
      </c>
      <c r="C3" s="7" t="inlineStr">
        <is>
          <t>9,900</t>
        </is>
      </c>
      <c r="D3" s="7" t="inlineStr">
        <is>
          <t>-</t>
        </is>
      </c>
      <c r="E3" s="7" t="inlineStr">
        <is>
          <t>~1% of contract</t>
        </is>
      </c>
      <c r="F3" s="7" t="inlineStr">
        <is>
          <t>5-8% (guide)</t>
        </is>
      </c>
      <c r="G3" s="7" t="inlineStr">
        <is>
          <t>RM9,900 on a RM1M, 6-month, 2-storey job with 10+ trades is thin. Suggest min 3% (~RM29k).</t>
        </is>
      </c>
      <c r="H3" s="9" t="inlineStr">
        <is>
          <t>A</t>
        </is>
      </c>
    </row>
    <row r="4">
      <c r="A4" s="7" t="inlineStr">
        <is>
          <t>Ceiling</t>
        </is>
      </c>
      <c r="B4" s="7" t="inlineStr">
        <is>
          <t>9mm plaster ceiling RM6/sqft</t>
        </is>
      </c>
      <c r="C4" s="7" t="inlineStr">
        <is>
          <t>6.00</t>
        </is>
      </c>
      <c r="D4" s="7" t="inlineStr">
        <is>
          <t>3.60-5.00</t>
        </is>
      </c>
      <c r="E4" s="7" t="inlineStr">
        <is>
          <t>17-40%</t>
        </is>
      </c>
      <c r="F4" s="7" t="inlineStr">
        <is>
          <t>45%</t>
        </is>
      </c>
      <c r="G4" s="7" t="inlineStr">
        <is>
          <t>Matrix selling RM10. Move to RM7.50-8.00 (+RM4-6k).</t>
        </is>
      </c>
      <c r="H4" s="10" t="inlineStr">
        <is>
          <t>B</t>
        </is>
      </c>
    </row>
    <row r="5">
      <c r="A5" s="7" t="inlineStr">
        <is>
          <t>Ceiling</t>
        </is>
      </c>
      <c r="B5" s="7" t="inlineStr">
        <is>
          <t>L-box LED RM28/ft</t>
        </is>
      </c>
      <c r="C5" s="7" t="inlineStr">
        <is>
          <t>28.00</t>
        </is>
      </c>
      <c r="D5" s="7" t="inlineStr">
        <is>
          <t>18-25</t>
        </is>
      </c>
      <c r="E5" s="7" t="inlineStr">
        <is>
          <t>11-36%</t>
        </is>
      </c>
      <c r="F5" s="7" t="inlineStr">
        <is>
          <t>45%</t>
        </is>
      </c>
      <c r="G5" s="7" t="inlineStr">
        <is>
          <t>Matrix selling RM50. Move to RM40.</t>
        </is>
      </c>
      <c r="H5" s="10" t="inlineStr">
        <is>
          <t>B</t>
        </is>
      </c>
    </row>
    <row r="6">
      <c r="A6" s="7" t="inlineStr">
        <is>
          <t>Curtains</t>
        </is>
      </c>
      <c r="B6" s="7" t="inlineStr">
        <is>
          <t>Double-layer curtain RM135/ft</t>
        </is>
      </c>
      <c r="C6" s="7" t="inlineStr">
        <is>
          <t>135.00</t>
        </is>
      </c>
      <c r="D6" s="7" t="inlineStr">
        <is>
          <t>86-120</t>
        </is>
      </c>
      <c r="E6" s="7" t="inlineStr">
        <is>
          <t>11-36%</t>
        </is>
      </c>
      <c r="F6" s="7" t="inlineStr">
        <is>
          <t>25-35%</t>
        </is>
      </c>
      <c r="G6" s="7" t="inlineStr">
        <is>
          <t>Night 55-75 + day 28-42 + track 3. Move to RM150-160.</t>
        </is>
      </c>
      <c r="H6" s="10" t="inlineStr">
        <is>
          <t>B</t>
        </is>
      </c>
    </row>
    <row r="7">
      <c r="A7" s="7" t="inlineStr">
        <is>
          <t>Joinery</t>
        </is>
      </c>
      <c r="B7" s="7" t="inlineStr">
        <is>
          <t>WIC wardrobe w/ black-frame glass doors RM991/ft</t>
        </is>
      </c>
      <c r="C7" s="7" t="inlineStr">
        <is>
          <t>991/ft</t>
        </is>
      </c>
      <c r="D7" s="7" t="inlineStr">
        <is>
          <t>750-900/ft?</t>
        </is>
      </c>
      <c r="E7" s="7" t="inlineStr">
        <is>
          <t>9-24%</t>
        </is>
      </c>
      <c r="F7" s="7" t="inlineStr">
        <is>
          <t>33%</t>
        </is>
      </c>
      <c r="G7" s="7" t="inlineStr">
        <is>
          <t>Alu-frame glass doors + LED cost more than melamine doors. Get carpenter price before sending.</t>
        </is>
      </c>
      <c r="H7" s="10" t="inlineStr">
        <is>
          <t>B</t>
        </is>
      </c>
    </row>
    <row r="8">
      <c r="A8" s="7" t="inlineStr">
        <is>
          <t>Flooring</t>
        </is>
      </c>
      <c r="B8" s="7" t="inlineStr">
        <is>
          <t>Engineering wood RM22/sqft</t>
        </is>
      </c>
      <c r="C8" s="7" t="inlineStr">
        <is>
          <t>22.00</t>
        </is>
      </c>
      <c r="D8" s="7" t="inlineStr">
        <is>
          <t>14-20 (est.)</t>
        </is>
      </c>
      <c r="E8" s="7" t="inlineStr">
        <is>
          <t>10-35%</t>
        </is>
      </c>
      <c r="F8" s="7" t="inlineStr">
        <is>
          <t>25%</t>
        </is>
      </c>
      <c r="G8" s="7" t="inlineStr">
        <is>
          <t>Porter Rosewood 15-20mm – confirm supplier price incl. underlay &amp; wastage.</t>
        </is>
      </c>
      <c r="H8" s="10" t="inlineStr">
        <is>
          <t>B</t>
        </is>
      </c>
    </row>
    <row r="9">
      <c r="A9" s="7" t="inlineStr">
        <is>
          <t>Wet Works</t>
        </is>
      </c>
      <c r="B9" s="7" t="inlineStr">
        <is>
          <t>Rates like 37.14 / 53,064.29 / 12,285.71 / 137.14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30% (cost/0.7)</t>
        </is>
      </c>
      <c r="F9" s="7" t="inlineStr">
        <is>
          <t>-</t>
        </is>
      </c>
      <c r="G9" s="7" t="inlineStr">
        <is>
          <t>Decimals show the client you priced cost ÷ 0.7. Round to 38.00, 53,100, 12,300, 140.00.</t>
        </is>
      </c>
      <c r="H9" s="10" t="inlineStr">
        <is>
          <t>B</t>
        </is>
      </c>
    </row>
    <row r="10">
      <c r="A10" s="7" t="inlineStr">
        <is>
          <t>Joinery</t>
        </is>
      </c>
      <c r="B10" s="7" t="inlineStr">
        <is>
          <t>Kitchen wall cabinet with lift-up doors RM537/ft</t>
        </is>
      </c>
      <c r="C10" s="7" t="inlineStr">
        <is>
          <t>537/ft</t>
        </is>
      </c>
      <c r="D10" s="7" t="inlineStr">
        <is>
          <t>170-260 + lift-up fittings</t>
        </is>
      </c>
      <c r="E10" s="7" t="inlineStr">
        <is>
          <t>~30%</t>
        </is>
      </c>
      <c r="F10" s="7" t="inlineStr">
        <is>
          <t>33%</t>
        </is>
      </c>
      <c r="G10" s="7" t="inlineStr">
        <is>
          <t>Blum Aventos ~RM400-600 each. OK if hardware counted, else thin.</t>
        </is>
      </c>
      <c r="H10" s="1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6" customWidth="1" min="4" max="4"/>
    <col width="9" customWidth="1" min="5" max="5"/>
  </cols>
  <sheetData>
    <row r="1">
      <c r="A1" s="6" t="inlineStr">
        <is>
          <t>Section</t>
        </is>
      </c>
      <c r="B1" s="6" t="inlineStr">
        <is>
          <t>Quoted (RM)</t>
        </is>
      </c>
      <c r="C1" s="6" t="inlineStr">
        <is>
          <t>Est. cost (RM)</t>
        </is>
      </c>
      <c r="D1" s="6" t="inlineStr">
        <is>
          <t>Gross profit (RM)</t>
        </is>
      </c>
      <c r="E1" s="6" t="inlineStr">
        <is>
          <t>GP %</t>
        </is>
      </c>
    </row>
    <row r="2">
      <c r="A2" s="7" t="inlineStr">
        <is>
          <t>Preliminaries</t>
        </is>
      </c>
      <c r="B2" s="14" t="n">
        <v>4600</v>
      </c>
      <c r="C2" s="14" t="n">
        <v>3000</v>
      </c>
      <c r="D2" s="14">
        <f>B2-C2</f>
        <v/>
      </c>
      <c r="E2" s="15">
        <f>IF(B2=0,0,D2/B2)</f>
        <v/>
      </c>
    </row>
    <row r="3">
      <c r="A3" s="7" t="inlineStr">
        <is>
          <t>1.0 Ceiling</t>
        </is>
      </c>
      <c r="B3" s="14" t="n">
        <v>37201</v>
      </c>
      <c r="C3" s="14" t="n">
        <v>26000</v>
      </c>
      <c r="D3" s="14">
        <f>B3-C3</f>
        <v/>
      </c>
      <c r="E3" s="15">
        <f>IF(B3=0,0,D3/B3)</f>
        <v/>
      </c>
    </row>
    <row r="4">
      <c r="A4" s="7" t="inlineStr">
        <is>
          <t>2.0 Painting</t>
        </is>
      </c>
      <c r="B4" s="14" t="n">
        <v>24599</v>
      </c>
      <c r="C4" s="14" t="n">
        <v>17000</v>
      </c>
      <c r="D4" s="14">
        <f>B4-C4</f>
        <v/>
      </c>
      <c r="E4" s="15">
        <f>IF(B4=0,0,D4/B4)</f>
        <v/>
      </c>
    </row>
    <row r="5">
      <c r="A5" s="7" t="inlineStr">
        <is>
          <t>3.0 Demolition &amp; Masonry / Wet Works</t>
        </is>
      </c>
      <c r="B5" s="14" t="n">
        <v>298314.54</v>
      </c>
      <c r="C5" s="14" t="n">
        <v>212000</v>
      </c>
      <c r="D5" s="14">
        <f>B5-C5</f>
        <v/>
      </c>
      <c r="E5" s="15">
        <f>IF(B5=0,0,D5/B5)</f>
        <v/>
      </c>
    </row>
    <row r="6">
      <c r="A6" s="7" t="inlineStr">
        <is>
          <t>4.0 Plumbing</t>
        </is>
      </c>
      <c r="B6" s="14" t="n">
        <v>9350</v>
      </c>
      <c r="C6" s="14" t="n">
        <v>6500</v>
      </c>
      <c r="D6" s="14">
        <f>B6-C6</f>
        <v/>
      </c>
      <c r="E6" s="15">
        <f>IF(B6=0,0,D6/B6)</f>
        <v/>
      </c>
    </row>
    <row r="7">
      <c r="A7" s="7" t="inlineStr">
        <is>
          <t>5.0 Electrical</t>
        </is>
      </c>
      <c r="B7" s="14" t="n">
        <v>37470</v>
      </c>
      <c r="C7" s="14" t="n">
        <v>25000</v>
      </c>
      <c r="D7" s="14">
        <f>B7-C7</f>
        <v/>
      </c>
      <c r="E7" s="15">
        <f>IF(B7=0,0,D7/B7)</f>
        <v/>
      </c>
    </row>
    <row r="8">
      <c r="A8" s="7" t="inlineStr">
        <is>
          <t>6.0 Light Fittings &amp; Fans</t>
        </is>
      </c>
      <c r="B8" s="14" t="n">
        <v>2100</v>
      </c>
      <c r="C8" s="14" t="n">
        <v>1500</v>
      </c>
      <c r="D8" s="14">
        <f>B8-C8</f>
        <v/>
      </c>
      <c r="E8" s="15">
        <f>IF(B8=0,0,D8/B8)</f>
        <v/>
      </c>
    </row>
    <row r="9">
      <c r="A9" s="7" t="inlineStr">
        <is>
          <t>7.0 Doors &amp; Windows</t>
        </is>
      </c>
      <c r="B9" s="14" t="n">
        <v>12900</v>
      </c>
      <c r="C9" s="14" t="n">
        <v>9500</v>
      </c>
      <c r="D9" s="14">
        <f>B9-C9</f>
        <v/>
      </c>
      <c r="E9" s="15">
        <f>IF(B9=0,0,D9/B9)</f>
        <v/>
      </c>
    </row>
    <row r="10">
      <c r="A10" s="7" t="inlineStr">
        <is>
          <t>8.0 Joinery</t>
        </is>
      </c>
      <c r="B10" s="14" t="n">
        <v>331650</v>
      </c>
      <c r="C10" s="14" t="n">
        <v>210000</v>
      </c>
      <c r="D10" s="14">
        <f>B10-C10</f>
        <v/>
      </c>
      <c r="E10" s="15">
        <f>IF(B10=0,0,D10/B10)</f>
        <v/>
      </c>
    </row>
    <row r="11">
      <c r="A11" s="7" t="inlineStr">
        <is>
          <t>9.0 Table Top</t>
        </is>
      </c>
      <c r="B11" s="14" t="n">
        <v>21140</v>
      </c>
      <c r="C11" s="14" t="n">
        <v>15000</v>
      </c>
      <c r="D11" s="14">
        <f>B11-C11</f>
        <v/>
      </c>
      <c r="E11" s="15">
        <f>IF(B11=0,0,D11/B11)</f>
        <v/>
      </c>
    </row>
    <row r="12">
      <c r="A12" s="7" t="inlineStr">
        <is>
          <t>10.0 Flooring</t>
        </is>
      </c>
      <c r="B12" s="14" t="n">
        <v>32020</v>
      </c>
      <c r="C12" s="14" t="n">
        <v>25000</v>
      </c>
      <c r="D12" s="14">
        <f>B12-C12</f>
        <v/>
      </c>
      <c r="E12" s="15">
        <f>IF(B12=0,0,D12/B12)</f>
        <v/>
      </c>
    </row>
    <row r="13">
      <c r="A13" s="7" t="inlineStr">
        <is>
          <t>11.0 Curtains &amp; Blinds</t>
        </is>
      </c>
      <c r="B13" s="14" t="n">
        <v>16280</v>
      </c>
      <c r="C13" s="14" t="n">
        <v>12000</v>
      </c>
      <c r="D13" s="14">
        <f>B13-C13</f>
        <v/>
      </c>
      <c r="E13" s="15">
        <f>IF(B13=0,0,D13/B13)</f>
        <v/>
      </c>
    </row>
    <row r="14">
      <c r="A14" s="7" t="inlineStr">
        <is>
          <t>12.0 Smart Home</t>
        </is>
      </c>
      <c r="B14" s="14" t="n">
        <v>142588.8</v>
      </c>
      <c r="C14" s="14" t="n">
        <v>142588.8</v>
      </c>
      <c r="D14" s="14">
        <f>B14-C14</f>
        <v/>
      </c>
      <c r="E14" s="15">
        <f>IF(B14=0,0,D14/B14)</f>
        <v/>
      </c>
    </row>
    <row r="15">
      <c r="A15" s="7" t="inlineStr">
        <is>
          <t>Project Management</t>
        </is>
      </c>
      <c r="B15" s="14" t="n">
        <v>9900</v>
      </c>
      <c r="C15" s="14" t="n">
        <v>5000</v>
      </c>
      <c r="D15" s="14">
        <f>B15-C15</f>
        <v/>
      </c>
      <c r="E15" s="15">
        <f>IF(B15=0,0,D15/B15)</f>
        <v/>
      </c>
    </row>
    <row r="16">
      <c r="A16" s="12" t="inlineStr">
        <is>
          <t>TOTAL</t>
        </is>
      </c>
      <c r="B16" s="16">
        <f>SUM(B2:B15)</f>
        <v/>
      </c>
      <c r="C16" s="16">
        <f>SUM(C2:C15)</f>
        <v/>
      </c>
      <c r="D16" s="16">
        <f>B16-C16</f>
        <v/>
      </c>
      <c r="E16" s="17">
        <f>D16/B16</f>
        <v/>
      </c>
    </row>
    <row r="17">
      <c r="A17" s="12" t="inlineStr">
        <is>
          <t>TOTAL excl. Smart Home</t>
        </is>
      </c>
      <c r="B17" s="16">
        <f>B16-B14</f>
        <v/>
      </c>
      <c r="C17" s="16">
        <f>C16-C14</f>
        <v/>
      </c>
      <c r="D17" s="16">
        <f>B17-C17</f>
        <v/>
      </c>
      <c r="E17" s="17">
        <f>D17/B17</f>
        <v/>
      </c>
    </row>
    <row r="18">
      <c r="A18" s="7" t="n"/>
      <c r="B18" s="7" t="n"/>
      <c r="C18" s="7" t="n"/>
      <c r="D18" s="7" t="n"/>
      <c r="E18" s="7" t="n"/>
    </row>
    <row r="19">
      <c r="A19" s="7" t="inlineStr">
        <is>
          <t>Est. cost = my estimate from the QS Pricing Matrix subcon ranges, not actual supplier quotes. Replace with real subcon quotes as they come in.</t>
        </is>
      </c>
      <c r="B19" s="7" t="n"/>
      <c r="C19" s="7" t="n"/>
      <c r="D19" s="7" t="n"/>
      <c r="E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55" customWidth="1" min="3" max="3"/>
    <col width="8" customWidth="1" min="4" max="4"/>
  </cols>
  <sheetData>
    <row r="1">
      <c r="A1" s="6" t="inlineStr">
        <is>
          <t>Type</t>
        </is>
      </c>
      <c r="B1" s="6" t="inlineStr">
        <is>
          <t>Issue</t>
        </is>
      </c>
      <c r="C1" s="6" t="inlineStr">
        <is>
          <t>Action</t>
        </is>
      </c>
      <c r="D1" s="6" t="inlineStr">
        <is>
          <t>Priority</t>
        </is>
      </c>
    </row>
    <row r="2">
      <c r="A2" s="7" t="inlineStr">
        <is>
          <t>Title block</t>
        </is>
      </c>
      <c r="B2" s="7" t="inlineStr">
        <is>
          <t>GF sheets (ORI / DEMOLISHED / NEW LAYOUT PLAN-G) copyright says 'property of seb design studio'.</t>
        </is>
      </c>
      <c r="C2" s="7" t="inlineStr">
        <is>
          <t>Fix before sending – it's another firm's name. FF sheets are already correct.</t>
        </is>
      </c>
      <c r="D2" s="9" t="inlineStr">
        <is>
          <t>A</t>
        </is>
      </c>
    </row>
    <row r="3">
      <c r="A3" s="7" t="inlineStr">
        <is>
          <t>Title block</t>
        </is>
      </c>
      <c r="B3" s="7" t="inlineStr">
        <is>
          <t>All 3 GF sheets titled 'FURNITURE LAYOUT PLAN (GROUND FLOOR)' regardless of content; Drawing No. blank on all 6 sheets; every sheet labelled 'ID 01'.</t>
        </is>
      </c>
      <c r="C3" s="7" t="inlineStr">
        <is>
          <t>Number them e.g. HR-ID-01…, title per content.</t>
        </is>
      </c>
      <c r="D3" s="9" t="inlineStr">
        <is>
          <t>A</t>
        </is>
      </c>
    </row>
    <row r="4">
      <c r="A4" s="7" t="inlineStr">
        <is>
          <t>Title block</t>
        </is>
      </c>
      <c r="B4" s="7" t="inlineStr">
        <is>
          <t>'PROJECT TITILE' typo; dates 02/10 (GF) vs 1/10 (FF); drawn by YANXIANG vs YS.</t>
        </is>
      </c>
      <c r="C4" s="7" t="inlineStr">
        <is>
          <t>Align.</t>
        </is>
      </c>
      <c r="D4" s="11" t="inlineStr">
        <is>
          <t>C</t>
        </is>
      </c>
    </row>
    <row r="5">
      <c r="A5" s="7" t="inlineStr">
        <is>
          <t>Plot</t>
        </is>
      </c>
      <c r="B5" s="7" t="inlineStr">
        <is>
          <t>GF Demolished Layout Plan is rotated 90° and clipped – Breakfast/Dining left side and Parents Room are cut off the sheet.</t>
        </is>
      </c>
      <c r="C5" s="7" t="inlineStr">
        <is>
          <t>Re-plot to fit A3.</t>
        </is>
      </c>
      <c r="D5" s="9" t="inlineStr">
        <is>
          <t>A</t>
        </is>
      </c>
    </row>
    <row r="6">
      <c r="A6" s="7" t="inlineStr">
        <is>
          <t>Scale</t>
        </is>
      </c>
      <c r="B6" s="7" t="inlineStr">
        <is>
          <t>Every sheet 'NOT TO SCALE'.</t>
        </is>
      </c>
      <c r="C6" s="7" t="inlineStr">
        <is>
          <t>Plot at 1:100 on A3 so contractors (and we) can measure off the PDF.</t>
        </is>
      </c>
      <c r="D6" s="10" t="inlineStr">
        <is>
          <t>B</t>
        </is>
      </c>
    </row>
    <row r="7">
      <c r="A7" s="7" t="inlineStr">
        <is>
          <t>Content</t>
        </is>
      </c>
      <c r="B7" s="7" t="inlineStr">
        <is>
          <t>GF New Layout has no wall legend (new wall / wall to hack / hidden doors / divider).</t>
        </is>
      </c>
      <c r="C7" s="7" t="inlineStr">
        <is>
          <t>Add as per FF legend; the kitchen–dining wall is hacked in the demolition plan.</t>
        </is>
      </c>
      <c r="D7" s="9" t="inlineStr">
        <is>
          <t>A</t>
        </is>
      </c>
    </row>
    <row r="8">
      <c r="A8" s="7" t="inlineStr">
        <is>
          <t>Content</t>
        </is>
      </c>
      <c r="B8" s="7" t="inlineStr">
        <is>
          <t>FF Demolition Plan doesn't mark Son's (Bath 2) &amp; Daughter's (Bath 1) bathrooms for hacking, but the 3D and the quote redo them.</t>
        </is>
      </c>
      <c r="C8" s="7" t="inlineStr">
        <is>
          <t>Decide scope: if redoing, add hatch; if not, remove from quote (≈RM29.7k tiling + plumbing).</t>
        </is>
      </c>
      <c r="D8" s="9" t="inlineStr">
        <is>
          <t>A</t>
        </is>
      </c>
    </row>
    <row r="9">
      <c r="A9" s="7" t="inlineStr">
        <is>
          <t>Content</t>
        </is>
      </c>
      <c r="B9" s="7" t="inlineStr">
        <is>
          <t>Wet Kitchen Option 1 (curved island + glass sliding doors) vs Option 2 – quote only prices Option 1.</t>
        </is>
      </c>
      <c r="C9" s="7" t="inlineStr">
        <is>
          <t>Show Option 2 as an alternative / deduction line so client sees the choice.</t>
        </is>
      </c>
      <c r="D9" s="10" t="inlineStr">
        <is>
          <t>B</t>
        </is>
      </c>
    </row>
    <row r="10">
      <c r="A10" s="7" t="inlineStr">
        <is>
          <t>Content</t>
        </is>
      </c>
      <c r="B10" s="7" t="inlineStr">
        <is>
          <t>Master Bedroom Opt 2 (twin columns) – quote merges into TV divider.</t>
        </is>
      </c>
      <c r="C10" s="7" t="inlineStr">
        <is>
          <t>Confirm which option.</t>
        </is>
      </c>
      <c r="D10" s="11" t="inlineStr">
        <is>
          <t>C</t>
        </is>
      </c>
    </row>
    <row r="11">
      <c r="A11" s="7" t="inlineStr">
        <is>
          <t>Missing sheet</t>
        </is>
      </c>
      <c r="B11" s="7" t="inlineStr">
        <is>
          <t>Reflected Ceiling Plan GF &amp; FF (levels, coves, Ø coffers, pelmets, AC grilles, access panels).</t>
        </is>
      </c>
      <c r="C11" s="7" t="inlineStr">
        <is>
          <t>Drives Ceiling qty (≈RM37-50k).</t>
        </is>
      </c>
      <c r="D11" s="9" t="inlineStr">
        <is>
          <t>A</t>
        </is>
      </c>
    </row>
    <row r="12">
      <c r="A12" s="7" t="inlineStr">
        <is>
          <t>Missing sheet</t>
        </is>
      </c>
      <c r="B12" s="7" t="inlineStr">
        <is>
          <t>Lighting layout (coordinate AETHO: 118 downlights, tracks, linear, 246 m strip, pendants, wall lights).</t>
        </is>
      </c>
      <c r="C12" s="7" t="inlineStr">
        <is>
          <t>Drives electrical points + smart home scope.</t>
        </is>
      </c>
      <c r="D12" s="9" t="inlineStr">
        <is>
          <t>A</t>
        </is>
      </c>
    </row>
    <row r="13">
      <c r="A13" s="7" t="inlineStr">
        <is>
          <t>Missing sheet</t>
        </is>
      </c>
      <c r="B13" s="7" t="inlineStr">
        <is>
          <t>Power &amp; data point layout (13A, 15A, 32A, data, TV, AC isolator, fireplace, curtain motors).</t>
        </is>
      </c>
      <c r="C13" s="7" t="inlineStr">
        <is>
          <t>Drives Electrical qty.</t>
        </is>
      </c>
      <c r="D13" s="9" t="inlineStr">
        <is>
          <t>A</t>
        </is>
      </c>
    </row>
    <row r="14">
      <c r="A14" s="7" t="inlineStr">
        <is>
          <t>Missing sheet</t>
        </is>
      </c>
      <c r="B14" s="7" t="inlineStr">
        <is>
          <t>Plumbing layout (inlet/outlet, floor trap, heater, island sink, laundry).</t>
        </is>
      </c>
      <c r="C14" s="7" t="inlineStr"/>
      <c r="D14" s="10" t="inlineStr">
        <is>
          <t>B</t>
        </is>
      </c>
    </row>
    <row r="15">
      <c r="A15" s="7" t="inlineStr">
        <is>
          <t>Missing sheet</t>
        </is>
      </c>
      <c r="B15" s="7" t="inlineStr">
        <is>
          <t>Floor finishes plan with area schedule (sqft per finish).</t>
        </is>
      </c>
      <c r="C15" s="7" t="inlineStr">
        <is>
          <t>Locks flooring &amp; tile quantities.</t>
        </is>
      </c>
      <c r="D15" s="9" t="inlineStr">
        <is>
          <t>A</t>
        </is>
      </c>
    </row>
    <row r="16">
      <c r="A16" s="7" t="inlineStr">
        <is>
          <t>Missing sheet</t>
        </is>
      </c>
      <c r="B16" s="7" t="inlineStr">
        <is>
          <t>Wall finishes plan + bathroom / wet kitchen tile elevations.</t>
        </is>
      </c>
      <c r="C16" s="7" t="inlineStr">
        <is>
          <t>Locks wall tile quantities.</t>
        </is>
      </c>
      <c r="D16" s="10" t="inlineStr">
        <is>
          <t>B</t>
        </is>
      </c>
    </row>
    <row r="17">
      <c r="A17" s="7" t="inlineStr">
        <is>
          <t>Missing sheet</t>
        </is>
      </c>
      <c r="B17" s="7" t="inlineStr">
        <is>
          <t>Cabinetry elevations &amp; sections per item (W x D x H, materials, hardware).</t>
        </is>
      </c>
      <c r="C17" s="7" t="inlineStr">
        <is>
          <t>Basis for the W/D/H columns in quote and for carpenter pricing.</t>
        </is>
      </c>
      <c r="D17" s="9" t="inlineStr">
        <is>
          <t>A</t>
        </is>
      </c>
    </row>
    <row r="18">
      <c r="A18" s="7" t="inlineStr">
        <is>
          <t>Missing sheet</t>
        </is>
      </c>
      <c r="B18" s="7" t="inlineStr">
        <is>
          <t>Door &amp; window schedule (new / hidden / refurbish / sealed).</t>
        </is>
      </c>
      <c r="C18" s="7" t="inlineStr"/>
      <c r="D18" s="10" t="inlineStr">
        <is>
          <t>B</t>
        </is>
      </c>
    </row>
    <row r="19">
      <c r="A19" s="7" t="inlineStr">
        <is>
          <t>Missing sheet</t>
        </is>
      </c>
      <c r="B19" s="7" t="inlineStr">
        <is>
          <t>Staircase &amp; balustrade detail.</t>
        </is>
      </c>
      <c r="C19" s="7" t="inlineStr"/>
      <c r="D19" s="10" t="inlineStr">
        <is>
          <t>B</t>
        </is>
      </c>
    </row>
    <row r="20">
      <c r="A20" s="7" t="inlineStr">
        <is>
          <t>Missing sheet</t>
        </is>
      </c>
      <c r="B20" s="7" t="inlineStr">
        <is>
          <t>Curtain &amp; blind schedule (location, type, width, height, motorised).</t>
        </is>
      </c>
      <c r="C20" s="7" t="inlineStr"/>
      <c r="D20" s="11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6" t="inlineStr">
        <is>
          <t>For</t>
        </is>
      </c>
      <c r="B1" s="6" t="inlineStr">
        <is>
          <t>Question</t>
        </is>
      </c>
    </row>
    <row r="2">
      <c r="A2" s="7" t="inlineStr">
        <is>
          <t>Client</t>
        </is>
      </c>
      <c r="B2" s="7" t="inlineStr">
        <is>
          <t>Son's &amp; Daughter's bathrooms – full redo (as 3D) or keep existing tiles?</t>
        </is>
      </c>
    </row>
    <row r="3">
      <c r="A3" s="7" t="inlineStr">
        <is>
          <t>Client</t>
        </is>
      </c>
      <c r="B3" s="7" t="inlineStr">
        <is>
          <t>Maid Bath – any works? (Not in 3D, not in quote.)</t>
        </is>
      </c>
    </row>
    <row r="4">
      <c r="A4" s="7" t="inlineStr">
        <is>
          <t>Client</t>
        </is>
      </c>
      <c r="B4" s="7" t="inlineStr">
        <is>
          <t>Terraces – what finish after decking removal?</t>
        </is>
      </c>
    </row>
    <row r="5">
      <c r="A5" s="7" t="inlineStr">
        <is>
          <t>Client</t>
        </is>
      </c>
      <c r="B5" s="7" t="inlineStr">
        <is>
          <t>Existing glass balustrade at void/stair – keep or replace?</t>
        </is>
      </c>
    </row>
    <row r="6">
      <c r="A6" s="7" t="inlineStr">
        <is>
          <t>Client</t>
        </is>
      </c>
      <c r="B6" s="7" t="inlineStr">
        <is>
          <t>Wet Kitchen Option 1 or 2? Master Bedroom option 1 or 2?</t>
        </is>
      </c>
    </row>
    <row r="7">
      <c r="A7" s="7" t="inlineStr">
        <is>
          <t>Client</t>
        </is>
      </c>
      <c r="B7" s="7" t="inlineStr">
        <is>
          <t>Who supplies kitchen sinks/taps, hood/hob/oven, water heaters, fireplace unit?</t>
        </is>
      </c>
    </row>
    <row r="8">
      <c r="A8" s="7" t="inlineStr">
        <is>
          <t>Client</t>
        </is>
      </c>
      <c r="B8" s="7" t="inlineStr">
        <is>
          <t>Smart home – contract through Groo (with markup) or directly with AETHO?</t>
        </is>
      </c>
    </row>
    <row r="9">
      <c r="A9" s="7" t="inlineStr">
        <is>
          <t>Internal</t>
        </is>
      </c>
      <c r="B9" s="7" t="inlineStr">
        <is>
          <t>Unit size: quote uses 5,500 sqft, fee proposal says 5,745 sqft – which is correct?</t>
        </is>
      </c>
    </row>
    <row r="10">
      <c r="A10" s="7" t="inlineStr">
        <is>
          <t>Internal</t>
        </is>
      </c>
      <c r="B10" s="7" t="inlineStr">
        <is>
          <t>Company address: quote header '143 Jln Desa Utama, Taman Danau Desa' vs fee proposal 'Level 3A, Wisma JAG, Taman Desa'.</t>
        </is>
      </c>
    </row>
    <row r="11">
      <c r="A11" s="7" t="inlineStr">
        <is>
          <t>Internal</t>
        </is>
      </c>
      <c r="B11" s="7" t="inlineStr">
        <is>
          <t>Quote date shows '10/8/2026' – print as '08 Oct 2026' to avoid being read as 10 Aug.</t>
        </is>
      </c>
    </row>
    <row r="12">
      <c r="A12" s="7" t="inlineStr">
        <is>
          <t>Internal</t>
        </is>
      </c>
      <c r="B12" s="7" t="inlineStr">
        <is>
          <t>Is the design fee (Fee Proposal 261026) billed separately? Quote has no design fee line.</t>
        </is>
      </c>
    </row>
    <row r="13">
      <c r="A13" s="7" t="inlineStr">
        <is>
          <t>Internal</t>
        </is>
      </c>
      <c r="B13" s="7" t="inlineStr">
        <is>
          <t>Payment terms: AETHO likely needs ~50% upfront for imported items – add a separate smart-home deposit so Groo isn't funding it.</t>
        </is>
      </c>
    </row>
    <row r="14">
      <c r="A14" s="7" t="inlineStr">
        <is>
          <t>Internal</t>
        </is>
      </c>
      <c r="B14" s="7" t="inlineStr">
        <is>
          <t>Add an explicit EXCLUSIONS block: aircond, loose furniture, appliances, sanitary ware, decorative lights, fireplace, artwork/plants, landscape/turfing, gate, permits &amp; JMB deposits.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2026-10-08T17:02:33Z</dcterms:created>
  <dcterms:modified xmlns:dcterms="http://purl.org/dc/terms/" xmlns:xsi="http://www.w3.org/2001/XMLSchema-instance" xsi:type="dcterms:W3CDTF">2026-10-08T17:02:33Z</dcterms:modified>
</cp:coreProperties>
</file>